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sei/Desktop/"/>
    </mc:Choice>
  </mc:AlternateContent>
  <xr:revisionPtr revIDLastSave="0" documentId="8_{733B26C9-144E-9D4D-BB7E-80F0BB8A4DD8}" xr6:coauthVersionLast="47" xr6:coauthVersionMax="47" xr10:uidLastSave="{00000000-0000-0000-0000-000000000000}"/>
  <bookViews>
    <workbookView xWindow="0" yWindow="0" windowWidth="28800" windowHeight="18000" xr2:uid="{33AABEF7-2F75-EC41-B9AC-FA7B254927DF}"/>
  </bookViews>
  <sheets>
    <sheet name="Dashboard" sheetId="1" r:id="rId1"/>
    <sheet name="US Stocks" sheetId="2" r:id="rId2"/>
    <sheet name="Japan Stocks" sheetId="3" r:id="rId3"/>
    <sheet name="Tech" sheetId="4" r:id="rId4"/>
    <sheet name="Macro" sheetId="5" r:id="rId5"/>
    <sheet name="Data Quality" sheetId="6" r:id="rId6"/>
    <sheet name="Incidents" sheetId="7" r:id="rId7"/>
    <sheet name="Data_Model" sheetId="8" r:id="rId8"/>
    <sheet name="tblMarket" sheetId="9" r:id="rId9"/>
    <sheet name="tblQuotes" sheetId="10" r:id="rId10"/>
    <sheet name="tblMacro" sheetId="14" r:id="rId11"/>
    <sheet name="tblIncidents" sheetId="11" r:id="rId12"/>
    <sheet name="tblQuality" sheetId="12" r:id="rId13"/>
    <sheet name="tblQualityHistory" sheetId="13" r:id="rId14"/>
  </sheets>
  <definedNames>
    <definedName name="ExternalData_1" localSheetId="8" hidden="1">tblMarket!$A$1:$Y$33</definedName>
    <definedName name="ExternalData_2" localSheetId="9" hidden="1">tblQuotes!$A$1:$U$17</definedName>
    <definedName name="ExternalData_3" localSheetId="11" hidden="1">tblIncidents!$A$1:$O$18</definedName>
    <definedName name="ExternalData_4" localSheetId="12" hidden="1">tblQuality!$A$1:$P$2</definedName>
    <definedName name="ExternalData_5" localSheetId="13" hidden="1">tblQualityHistory!$A$1:$M$60</definedName>
    <definedName name="ExternalData_6" localSheetId="10" hidden="1">tblMacro!$A$1:$L$7</definedName>
    <definedName name="QualityHistory_Scores">quality_history[overall_score]</definedName>
    <definedName name="QualityHistory_Timestamps">quality_history[ingested_at_utc]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5" i="1" l="1"/>
  <c r="D5" i="1"/>
  <c r="H16" i="1" a="1"/>
  <c r="H16" i="1" s="1"/>
  <c r="K12" i="1"/>
  <c r="L12" i="1"/>
  <c r="M12" i="1"/>
  <c r="D6" i="4" a="1"/>
  <c r="D6" i="4" s="1"/>
  <c r="E6" i="4" a="1"/>
  <c r="E6" i="4" s="1"/>
  <c r="F6" i="4" a="1"/>
  <c r="F6" i="4" s="1"/>
  <c r="I6" i="4" a="1"/>
  <c r="I6" i="4" s="1"/>
  <c r="K5" i="4" a="1"/>
  <c r="K5" i="4" s="1"/>
  <c r="S5" i="4" a="1"/>
  <c r="S5" i="4" s="1"/>
  <c r="E6" i="2" a="1"/>
  <c r="E6" i="2" s="1"/>
  <c r="F6" i="2" a="1"/>
  <c r="F6" i="2" s="1"/>
  <c r="G6" i="2" a="1"/>
  <c r="G6" i="2" s="1"/>
  <c r="H6" i="2" a="1"/>
  <c r="H6" i="2" s="1"/>
  <c r="W6" i="2" a="1"/>
  <c r="W6" i="2" s="1"/>
  <c r="D7" i="4" a="1"/>
  <c r="D7" i="4" s="1"/>
  <c r="E7" i="4" a="1"/>
  <c r="E7" i="4" s="1"/>
  <c r="F7" i="4" a="1"/>
  <c r="F7" i="4" s="1"/>
  <c r="D8" i="4" a="1"/>
  <c r="D8" i="4" s="1"/>
  <c r="E8" i="4" a="1"/>
  <c r="E8" i="4" s="1"/>
  <c r="F8" i="4" a="1"/>
  <c r="F8" i="4" s="1"/>
  <c r="D9" i="4" a="1"/>
  <c r="D9" i="4" s="1"/>
  <c r="E9" i="4" a="1"/>
  <c r="E9" i="4" s="1"/>
  <c r="F9" i="4" a="1"/>
  <c r="F9" i="4" s="1"/>
  <c r="D10" i="4" a="1"/>
  <c r="D10" i="4" s="1"/>
  <c r="E10" i="4" a="1"/>
  <c r="E10" i="4" s="1"/>
  <c r="F10" i="4" a="1"/>
  <c r="F10" i="4" s="1"/>
  <c r="I7" i="4" a="1"/>
  <c r="I7" i="4" s="1"/>
  <c r="I8" i="4" a="1"/>
  <c r="I8" i="4" s="1"/>
  <c r="I9" i="4" a="1"/>
  <c r="I9" i="4" s="1"/>
  <c r="I10" i="4" a="1"/>
  <c r="I10" i="4" s="1"/>
  <c r="E7" i="2" a="1"/>
  <c r="E7" i="2" s="1"/>
  <c r="F7" i="2" a="1"/>
  <c r="F7" i="2" s="1"/>
  <c r="G7" i="2" a="1"/>
  <c r="G7" i="2" s="1"/>
  <c r="H7" i="2" a="1"/>
  <c r="H7" i="2" s="1"/>
  <c r="E8" i="2" a="1"/>
  <c r="E8" i="2" s="1"/>
  <c r="F8" i="2" a="1"/>
  <c r="F8" i="2" s="1"/>
  <c r="G8" i="2" a="1"/>
  <c r="G8" i="2" s="1"/>
  <c r="H8" i="2" a="1"/>
  <c r="H8" i="2" s="1"/>
  <c r="E9" i="2" a="1"/>
  <c r="E9" i="2" s="1"/>
  <c r="F9" i="2" a="1"/>
  <c r="F9" i="2" s="1"/>
  <c r="G9" i="2" a="1"/>
  <c r="G9" i="2" s="1"/>
  <c r="H9" i="2" a="1"/>
  <c r="H9" i="2" s="1"/>
  <c r="E10" i="2" a="1"/>
  <c r="E10" i="2"/>
  <c r="F10" i="2" a="1"/>
  <c r="F10" i="2" s="1"/>
  <c r="G10" i="2" a="1"/>
  <c r="G10" i="2" s="1"/>
  <c r="H10" i="2" a="1"/>
  <c r="H10" i="2" s="1"/>
  <c r="E11" i="2" a="1"/>
  <c r="E11" i="2" s="1"/>
  <c r="F11" i="2" a="1"/>
  <c r="F11" i="2" s="1"/>
  <c r="G11" i="2" a="1"/>
  <c r="G11" i="2" s="1"/>
  <c r="H11" i="2" a="1"/>
  <c r="H11" i="2" s="1"/>
  <c r="E12" i="2" a="1"/>
  <c r="E12" i="2" s="1"/>
  <c r="F12" i="2" a="1"/>
  <c r="F12" i="2" s="1"/>
  <c r="G12" i="2" a="1"/>
  <c r="G12" i="2" s="1"/>
  <c r="H12" i="2" a="1"/>
  <c r="H12" i="2" s="1"/>
  <c r="E13" i="2" a="1"/>
  <c r="E13" i="2"/>
  <c r="F13" i="2" a="1"/>
  <c r="F13" i="2" s="1"/>
  <c r="G13" i="2" a="1"/>
  <c r="G13" i="2" s="1"/>
  <c r="H13" i="2" a="1"/>
  <c r="H13" i="2" s="1"/>
  <c r="E14" i="2" a="1"/>
  <c r="E14" i="2" s="1"/>
  <c r="F14" i="2" a="1"/>
  <c r="F14" i="2" s="1"/>
  <c r="G14" i="2" a="1"/>
  <c r="G14" i="2" s="1"/>
  <c r="H14" i="2" a="1"/>
  <c r="H14" i="2" s="1"/>
  <c r="E15" i="2" a="1"/>
  <c r="E15" i="2"/>
  <c r="F15" i="2" a="1"/>
  <c r="F15" i="2" s="1"/>
  <c r="G15" i="2" a="1"/>
  <c r="G15" i="2" s="1"/>
  <c r="H15" i="2" a="1"/>
  <c r="H15" i="2" s="1"/>
  <c r="E16" i="2" a="1"/>
  <c r="E16" i="2"/>
  <c r="F16" i="2" a="1"/>
  <c r="F16" i="2" s="1"/>
  <c r="G16" i="2" a="1"/>
  <c r="G16" i="2" s="1"/>
  <c r="H16" i="2" a="1"/>
  <c r="H16" i="2" s="1"/>
  <c r="E17" i="2" a="1"/>
  <c r="E17" i="2" s="1"/>
  <c r="F17" i="2" a="1"/>
  <c r="F17" i="2" s="1"/>
  <c r="G17" i="2" a="1"/>
  <c r="G17" i="2" s="1"/>
  <c r="H17" i="2" a="1"/>
  <c r="H17" i="2" s="1"/>
  <c r="E18" i="2" a="1"/>
  <c r="E18" i="2"/>
  <c r="F18" i="2" a="1"/>
  <c r="F18" i="2" s="1"/>
  <c r="G18" i="2" a="1"/>
  <c r="G18" i="2" s="1"/>
  <c r="H18" i="2" a="1"/>
  <c r="H18" i="2" s="1"/>
  <c r="E19" i="2" a="1"/>
  <c r="E19" i="2" s="1"/>
  <c r="F19" i="2" a="1"/>
  <c r="F19" i="2" s="1"/>
  <c r="G19" i="2" a="1"/>
  <c r="G19" i="2" s="1"/>
  <c r="H19" i="2" a="1"/>
  <c r="H19" i="2" s="1"/>
  <c r="E20" i="2" a="1"/>
  <c r="E20" i="2"/>
  <c r="F20" i="2" a="1"/>
  <c r="F20" i="2" s="1"/>
  <c r="G20" i="2" a="1"/>
  <c r="G20" i="2" s="1"/>
  <c r="H20" i="2" a="1"/>
  <c r="H20" i="2" s="1"/>
  <c r="E21" i="2" a="1"/>
  <c r="E21" i="2"/>
  <c r="F21" i="2" a="1"/>
  <c r="F21" i="2" s="1"/>
  <c r="G21" i="2" a="1"/>
  <c r="G21" i="2" s="1"/>
  <c r="H21" i="2" a="1"/>
  <c r="H21" i="2" s="1"/>
  <c r="E22" i="2" a="1"/>
  <c r="E22" i="2" s="1"/>
  <c r="F22" i="2" a="1"/>
  <c r="F22" i="2" s="1"/>
  <c r="G22" i="2" a="1"/>
  <c r="G22" i="2" s="1"/>
  <c r="H22" i="2" a="1"/>
  <c r="H22" i="2" s="1"/>
  <c r="E23" i="2" a="1"/>
  <c r="E23" i="2"/>
  <c r="F23" i="2" a="1"/>
  <c r="F23" i="2" s="1"/>
  <c r="G23" i="2" a="1"/>
  <c r="G23" i="2" s="1"/>
  <c r="H23" i="2" a="1"/>
  <c r="H23" i="2" s="1"/>
  <c r="E24" i="2" a="1"/>
  <c r="E24" i="2" s="1"/>
  <c r="F24" i="2" a="1"/>
  <c r="F24" i="2" s="1"/>
  <c r="G24" i="2" a="1"/>
  <c r="G24" i="2" s="1"/>
  <c r="H24" i="2" a="1"/>
  <c r="H24" i="2" s="1"/>
  <c r="E25" i="2" a="1"/>
  <c r="E25" i="2"/>
  <c r="F25" i="2" a="1"/>
  <c r="F25" i="2" s="1"/>
  <c r="G25" i="2" a="1"/>
  <c r="G25" i="2" s="1"/>
  <c r="H25" i="2" a="1"/>
  <c r="H25" i="2" s="1"/>
  <c r="E26" i="2" a="1"/>
  <c r="E26" i="2" s="1"/>
  <c r="F26" i="2" a="1"/>
  <c r="F26" i="2" s="1"/>
  <c r="G26" i="2" a="1"/>
  <c r="G26" i="2" s="1"/>
  <c r="H26" i="2" a="1"/>
  <c r="H26" i="2" s="1"/>
  <c r="E27" i="2" a="1"/>
  <c r="E27" i="2" s="1"/>
  <c r="F27" i="2" a="1"/>
  <c r="F27" i="2" s="1"/>
  <c r="G27" i="2" a="1"/>
  <c r="G27" i="2" s="1"/>
  <c r="H27" i="2" a="1"/>
  <c r="H27" i="2" s="1"/>
  <c r="E28" i="2" a="1"/>
  <c r="E28" i="2" s="1"/>
  <c r="F28" i="2" a="1"/>
  <c r="F28" i="2" s="1"/>
  <c r="G28" i="2" a="1"/>
  <c r="G28" i="2" s="1"/>
  <c r="H28" i="2" a="1"/>
  <c r="H28" i="2" s="1"/>
  <c r="E29" i="2" a="1"/>
  <c r="E29" i="2" s="1"/>
  <c r="F29" i="2" a="1"/>
  <c r="F29" i="2" s="1"/>
  <c r="G29" i="2" a="1"/>
  <c r="G29" i="2" s="1"/>
  <c r="H29" i="2" a="1"/>
  <c r="H29" i="2" s="1"/>
  <c r="E30" i="2" a="1"/>
  <c r="E30" i="2" s="1"/>
  <c r="F30" i="2" a="1"/>
  <c r="F30" i="2" s="1"/>
  <c r="G30" i="2" a="1"/>
  <c r="G30" i="2" s="1"/>
  <c r="H30" i="2" a="1"/>
  <c r="H30" i="2" s="1"/>
  <c r="E31" i="2" a="1"/>
  <c r="E31" i="2" s="1"/>
  <c r="F31" i="2" a="1"/>
  <c r="F31" i="2" s="1"/>
  <c r="G31" i="2" a="1"/>
  <c r="G31" i="2" s="1"/>
  <c r="H31" i="2" a="1"/>
  <c r="H31" i="2" s="1"/>
  <c r="E32" i="2" a="1"/>
  <c r="E32" i="2" s="1"/>
  <c r="F32" i="2" a="1"/>
  <c r="F32" i="2" s="1"/>
  <c r="G32" i="2" a="1"/>
  <c r="G32" i="2" s="1"/>
  <c r="H32" i="2" a="1"/>
  <c r="H32" i="2" s="1"/>
  <c r="E33" i="2" a="1"/>
  <c r="E33" i="2" s="1"/>
  <c r="F33" i="2" a="1"/>
  <c r="F33" i="2" s="1"/>
  <c r="G33" i="2" a="1"/>
  <c r="G33" i="2" s="1"/>
  <c r="H33" i="2" a="1"/>
  <c r="H33" i="2" s="1"/>
  <c r="E34" i="2" a="1"/>
  <c r="E34" i="2" s="1"/>
  <c r="F34" i="2" a="1"/>
  <c r="F34" i="2" s="1"/>
  <c r="G34" i="2" a="1"/>
  <c r="G34" i="2" s="1"/>
  <c r="H34" i="2" a="1"/>
  <c r="H34" i="2" s="1"/>
  <c r="E35" i="2" a="1"/>
  <c r="E35" i="2" s="1"/>
  <c r="F35" i="2" a="1"/>
  <c r="F35" i="2" s="1"/>
  <c r="G35" i="2" a="1"/>
  <c r="G35" i="2" s="1"/>
  <c r="H35" i="2" a="1"/>
  <c r="H35" i="2" s="1"/>
  <c r="E36" i="2" a="1"/>
  <c r="E36" i="2" s="1"/>
  <c r="F36" i="2" a="1"/>
  <c r="F36" i="2" s="1"/>
  <c r="G36" i="2" a="1"/>
  <c r="G36" i="2" s="1"/>
  <c r="H36" i="2" a="1"/>
  <c r="H36" i="2" s="1"/>
  <c r="E37" i="2" a="1"/>
  <c r="E37" i="2" s="1"/>
  <c r="F37" i="2" a="1"/>
  <c r="F37" i="2" s="1"/>
  <c r="G37" i="2" a="1"/>
  <c r="G37" i="2" s="1"/>
  <c r="H37" i="2" a="1"/>
  <c r="H37" i="2" s="1"/>
  <c r="E38" i="2" a="1"/>
  <c r="E38" i="2" s="1"/>
  <c r="F38" i="2" a="1"/>
  <c r="F38" i="2" s="1"/>
  <c r="G38" i="2" a="1"/>
  <c r="G38" i="2" s="1"/>
  <c r="H38" i="2" a="1"/>
  <c r="H38" i="2" s="1"/>
  <c r="E39" i="2" a="1"/>
  <c r="E39" i="2" s="1"/>
  <c r="F39" i="2" a="1"/>
  <c r="F39" i="2" s="1"/>
  <c r="G39" i="2" a="1"/>
  <c r="G39" i="2" s="1"/>
  <c r="H39" i="2" a="1"/>
  <c r="H39" i="2" s="1"/>
  <c r="E40" i="2" a="1"/>
  <c r="E40" i="2" s="1"/>
  <c r="F40" i="2" a="1"/>
  <c r="F40" i="2" s="1"/>
  <c r="G40" i="2" a="1"/>
  <c r="G40" i="2" s="1"/>
  <c r="H40" i="2" a="1"/>
  <c r="H40" i="2" s="1"/>
  <c r="E41" i="2" a="1"/>
  <c r="E41" i="2" s="1"/>
  <c r="F41" i="2" a="1"/>
  <c r="F41" i="2" s="1"/>
  <c r="G41" i="2" a="1"/>
  <c r="G41" i="2" s="1"/>
  <c r="H41" i="2" a="1"/>
  <c r="H41" i="2" s="1"/>
  <c r="E42" i="2" a="1"/>
  <c r="E42" i="2" s="1"/>
  <c r="F42" i="2" a="1"/>
  <c r="F42" i="2" s="1"/>
  <c r="G42" i="2" a="1"/>
  <c r="G42" i="2" s="1"/>
  <c r="H42" i="2" a="1"/>
  <c r="H42" i="2" s="1"/>
  <c r="E43" i="2" a="1"/>
  <c r="E43" i="2" s="1"/>
  <c r="F43" i="2" a="1"/>
  <c r="F43" i="2" s="1"/>
  <c r="G43" i="2" a="1"/>
  <c r="G43" i="2" s="1"/>
  <c r="H43" i="2" a="1"/>
  <c r="H43" i="2" s="1"/>
  <c r="E44" i="2" a="1"/>
  <c r="E44" i="2" s="1"/>
  <c r="F44" i="2" a="1"/>
  <c r="F44" i="2" s="1"/>
  <c r="G44" i="2" a="1"/>
  <c r="G44" i="2" s="1"/>
  <c r="H44" i="2" a="1"/>
  <c r="H44" i="2" s="1"/>
  <c r="E45" i="2" a="1"/>
  <c r="E45" i="2" s="1"/>
  <c r="F45" i="2" a="1"/>
  <c r="F45" i="2" s="1"/>
  <c r="G45" i="2" a="1"/>
  <c r="G45" i="2" s="1"/>
  <c r="H45" i="2" a="1"/>
  <c r="H45" i="2" s="1"/>
  <c r="E46" i="2" a="1"/>
  <c r="E46" i="2" s="1"/>
  <c r="F46" i="2" a="1"/>
  <c r="F46" i="2" s="1"/>
  <c r="G46" i="2" a="1"/>
  <c r="G46" i="2" s="1"/>
  <c r="H46" i="2" a="1"/>
  <c r="H46" i="2" s="1"/>
  <c r="E47" i="2" a="1"/>
  <c r="E47" i="2" s="1"/>
  <c r="F47" i="2" a="1"/>
  <c r="F47" i="2" s="1"/>
  <c r="G47" i="2" a="1"/>
  <c r="G47" i="2" s="1"/>
  <c r="H47" i="2" a="1"/>
  <c r="H47" i="2" s="1"/>
  <c r="E48" i="2" a="1"/>
  <c r="E48" i="2" s="1"/>
  <c r="F48" i="2" a="1"/>
  <c r="F48" i="2" s="1"/>
  <c r="G48" i="2" a="1"/>
  <c r="G48" i="2" s="1"/>
  <c r="H48" i="2" a="1"/>
  <c r="H48" i="2" s="1"/>
  <c r="E49" i="2" a="1"/>
  <c r="E49" i="2" s="1"/>
  <c r="F49" i="2" a="1"/>
  <c r="F49" i="2" s="1"/>
  <c r="G49" i="2" a="1"/>
  <c r="G49" i="2" s="1"/>
  <c r="H49" i="2" a="1"/>
  <c r="H49" i="2" s="1"/>
  <c r="E50" i="2" a="1"/>
  <c r="E50" i="2" s="1"/>
  <c r="F50" i="2" a="1"/>
  <c r="F50" i="2" s="1"/>
  <c r="G50" i="2" a="1"/>
  <c r="G50" i="2" s="1"/>
  <c r="H50" i="2" a="1"/>
  <c r="H50" i="2" s="1"/>
  <c r="E51" i="2" a="1"/>
  <c r="E51" i="2" s="1"/>
  <c r="F51" i="2" a="1"/>
  <c r="F51" i="2" s="1"/>
  <c r="G51" i="2" a="1"/>
  <c r="G51" i="2" s="1"/>
  <c r="H51" i="2" a="1"/>
  <c r="H51" i="2" s="1"/>
  <c r="E52" i="2" a="1"/>
  <c r="E52" i="2" s="1"/>
  <c r="F52" i="2" a="1"/>
  <c r="F52" i="2" s="1"/>
  <c r="G52" i="2" a="1"/>
  <c r="G52" i="2" s="1"/>
  <c r="H52" i="2" a="1"/>
  <c r="H52" i="2" s="1"/>
  <c r="E53" i="2" a="1"/>
  <c r="E53" i="2" s="1"/>
  <c r="F53" i="2" a="1"/>
  <c r="F53" i="2" s="1"/>
  <c r="G53" i="2" a="1"/>
  <c r="G53" i="2" s="1"/>
  <c r="H53" i="2" a="1"/>
  <c r="H53" i="2" s="1"/>
  <c r="E54" i="2" a="1"/>
  <c r="E54" i="2" s="1"/>
  <c r="F54" i="2" a="1"/>
  <c r="F54" i="2" s="1"/>
  <c r="G54" i="2" a="1"/>
  <c r="G54" i="2" s="1"/>
  <c r="H54" i="2" a="1"/>
  <c r="H54" i="2" s="1"/>
  <c r="E55" i="2" a="1"/>
  <c r="E55" i="2" s="1"/>
  <c r="F55" i="2" a="1"/>
  <c r="F55" i="2" s="1"/>
  <c r="G55" i="2" a="1"/>
  <c r="G55" i="2" s="1"/>
  <c r="H55" i="2" a="1"/>
  <c r="H55" i="2" s="1"/>
  <c r="Q26" i="1" a="1"/>
  <c r="Q26" i="1" s="1"/>
  <c r="T26" i="1" a="1"/>
  <c r="T26" i="1" s="1"/>
  <c r="U26" i="1" a="1"/>
  <c r="U26" i="1" s="1"/>
  <c r="V26" i="1" a="1"/>
  <c r="V26" i="1" s="1"/>
  <c r="W26" i="1" a="1"/>
  <c r="W26" i="1" s="1"/>
  <c r="Z26" i="1" a="1"/>
  <c r="Z26" i="1" s="1"/>
  <c r="P19" i="6" a="1"/>
  <c r="P19" i="6" s="1"/>
  <c r="S19" i="6" a="1"/>
  <c r="S19" i="6" s="1"/>
  <c r="T19" i="6" a="1"/>
  <c r="T19" i="6" s="1"/>
  <c r="U19" i="6" a="1"/>
  <c r="U19" i="6" s="1"/>
  <c r="V19" i="6" a="1"/>
  <c r="V19" i="6" s="1"/>
  <c r="Y19" i="6" a="1"/>
  <c r="Y19" i="6" s="1"/>
  <c r="P26" i="1" a="1"/>
  <c r="P26" i="1" s="1"/>
  <c r="S26" i="1" a="1"/>
  <c r="S26" i="1" s="1"/>
  <c r="Y26" i="1" a="1"/>
  <c r="Y26" i="1" s="1"/>
  <c r="O19" i="6" a="1"/>
  <c r="O19" i="6" s="1"/>
  <c r="R19" i="6" a="1"/>
  <c r="R19" i="6" s="1"/>
  <c r="X19" i="6" a="1"/>
  <c r="X19" i="6" s="1"/>
  <c r="M6" i="3" a="1"/>
  <c r="M6" i="3" s="1"/>
  <c r="J6" i="3" a="1"/>
  <c r="J6" i="3" s="1"/>
  <c r="T6" i="2" a="1"/>
  <c r="T6" i="2" s="1"/>
  <c r="Q6" i="2" a="1"/>
  <c r="Q6" i="2" s="1"/>
  <c r="P18" i="7" a="1"/>
  <c r="P18" i="7" s="1"/>
  <c r="A60" i="7" a="1"/>
  <c r="A60" i="7" s="1"/>
  <c r="A6" i="7" a="1"/>
  <c r="A6" i="7" s="1"/>
  <c r="H3" i="7"/>
  <c r="F3" i="7"/>
  <c r="D3" i="7"/>
  <c r="B3" i="7"/>
  <c r="P5" i="4" a="1"/>
  <c r="P5" i="4" s="1"/>
  <c r="M7" i="4" a="1"/>
  <c r="M7" i="4" s="1"/>
  <c r="L7" i="4" a="1"/>
  <c r="L7" i="4" s="1"/>
  <c r="M6" i="4" a="1"/>
  <c r="M6" i="4" s="1"/>
  <c r="L6" i="4" a="1"/>
  <c r="L6" i="4" s="1"/>
  <c r="M5" i="4" a="1"/>
  <c r="M5" i="4" s="1"/>
  <c r="L5" i="4" a="1"/>
  <c r="L5" i="4" s="1"/>
  <c r="A6" i="4" a="1"/>
  <c r="A6" i="4" s="1"/>
  <c r="B6" i="4" a="1"/>
  <c r="B6" i="4" s="1"/>
  <c r="C6" i="4" a="1"/>
  <c r="C6" i="4" s="1"/>
  <c r="G6" i="4" a="1"/>
  <c r="G6" i="4" s="1"/>
  <c r="H6" i="4" a="1"/>
  <c r="H6" i="4" s="1"/>
  <c r="A7" i="4" a="1"/>
  <c r="A7" i="4" s="1"/>
  <c r="B7" i="4" a="1"/>
  <c r="B7" i="4" s="1"/>
  <c r="C7" i="4" a="1"/>
  <c r="C7" i="4" s="1"/>
  <c r="G7" i="4" a="1"/>
  <c r="G7" i="4" s="1"/>
  <c r="H7" i="4" a="1"/>
  <c r="H7" i="4" s="1"/>
  <c r="A8" i="4" a="1"/>
  <c r="A8" i="4" s="1"/>
  <c r="B8" i="4" a="1"/>
  <c r="B8" i="4" s="1"/>
  <c r="C8" i="4" a="1"/>
  <c r="C8" i="4" s="1"/>
  <c r="G8" i="4" a="1"/>
  <c r="G8" i="4" s="1"/>
  <c r="H8" i="4" a="1"/>
  <c r="H8" i="4" s="1"/>
  <c r="A9" i="4" a="1"/>
  <c r="A9" i="4" s="1"/>
  <c r="B9" i="4" a="1"/>
  <c r="B9" i="4" s="1"/>
  <c r="C9" i="4" a="1"/>
  <c r="C9" i="4" s="1"/>
  <c r="G9" i="4" a="1"/>
  <c r="G9" i="4" s="1"/>
  <c r="H9" i="4" a="1"/>
  <c r="H9" i="4" s="1"/>
  <c r="A10" i="4" a="1"/>
  <c r="A10" i="4" s="1"/>
  <c r="B10" i="4" a="1"/>
  <c r="B10" i="4" s="1"/>
  <c r="C10" i="4" a="1"/>
  <c r="C10" i="4" s="1"/>
  <c r="G10" i="4" a="1"/>
  <c r="G10" i="4" s="1"/>
  <c r="H10" i="4" a="1"/>
  <c r="H10" i="4" s="1"/>
  <c r="P6" i="3" a="1"/>
  <c r="P6" i="3" s="1"/>
  <c r="A6" i="3" a="1"/>
  <c r="A6" i="3" s="1"/>
  <c r="F6" i="3" s="1" a="1"/>
  <c r="F6" i="3" s="1"/>
  <c r="B6" i="3" a="1"/>
  <c r="B6" i="3" s="1"/>
  <c r="C6" i="3" a="1"/>
  <c r="C6" i="3" s="1"/>
  <c r="D6" i="3" a="1"/>
  <c r="D6" i="3" s="1"/>
  <c r="E6" i="3" a="1"/>
  <c r="E6" i="3" s="1"/>
  <c r="G6" i="3" a="1"/>
  <c r="G6" i="3" s="1"/>
  <c r="A7" i="3" a="1"/>
  <c r="A7" i="3" s="1"/>
  <c r="F7" i="3" s="1" a="1"/>
  <c r="F7" i="3" s="1"/>
  <c r="B7" i="3" a="1"/>
  <c r="B7" i="3" s="1"/>
  <c r="C7" i="3" a="1"/>
  <c r="C7" i="3" s="1"/>
  <c r="D7" i="3" a="1"/>
  <c r="D7" i="3" s="1"/>
  <c r="E7" i="3" a="1"/>
  <c r="E7" i="3" s="1"/>
  <c r="G7" i="3" a="1"/>
  <c r="G7" i="3" s="1"/>
  <c r="A8" i="3" a="1"/>
  <c r="A8" i="3" s="1"/>
  <c r="F8" i="3" s="1" a="1"/>
  <c r="F8" i="3" s="1"/>
  <c r="B8" i="3" a="1"/>
  <c r="B8" i="3" s="1"/>
  <c r="C8" i="3" a="1"/>
  <c r="C8" i="3" s="1"/>
  <c r="D8" i="3" a="1"/>
  <c r="D8" i="3" s="1"/>
  <c r="E8" i="3" a="1"/>
  <c r="E8" i="3" s="1"/>
  <c r="G8" i="3" a="1"/>
  <c r="G8" i="3" s="1"/>
  <c r="A9" i="3" a="1"/>
  <c r="A9" i="3" s="1"/>
  <c r="F9" i="3" s="1" a="1"/>
  <c r="F9" i="3" s="1"/>
  <c r="B9" i="3" a="1"/>
  <c r="B9" i="3" s="1"/>
  <c r="C9" i="3" a="1"/>
  <c r="C9" i="3" s="1"/>
  <c r="D9" i="3" a="1"/>
  <c r="D9" i="3" s="1"/>
  <c r="E9" i="3" a="1"/>
  <c r="E9" i="3" s="1"/>
  <c r="G9" i="3" a="1"/>
  <c r="G9" i="3" s="1"/>
  <c r="A10" i="3" a="1"/>
  <c r="A10" i="3" s="1"/>
  <c r="F10" i="3" s="1" a="1"/>
  <c r="F10" i="3" s="1"/>
  <c r="B10" i="3" a="1"/>
  <c r="B10" i="3" s="1"/>
  <c r="C10" i="3" a="1"/>
  <c r="C10" i="3" s="1"/>
  <c r="D10" i="3" a="1"/>
  <c r="D10" i="3" s="1"/>
  <c r="E10" i="3" a="1"/>
  <c r="E10" i="3" s="1"/>
  <c r="G10" i="3" a="1"/>
  <c r="G10" i="3" s="1"/>
  <c r="A11" i="3" a="1"/>
  <c r="A11" i="3" s="1"/>
  <c r="F11" i="3" s="1" a="1"/>
  <c r="F11" i="3" s="1"/>
  <c r="B11" i="3" a="1"/>
  <c r="B11" i="3" s="1"/>
  <c r="C11" i="3" a="1"/>
  <c r="C11" i="3" s="1"/>
  <c r="D11" i="3" a="1"/>
  <c r="D11" i="3" s="1"/>
  <c r="E11" i="3" a="1"/>
  <c r="E11" i="3" s="1"/>
  <c r="G11" i="3" a="1"/>
  <c r="G11" i="3" s="1"/>
  <c r="A12" i="3" a="1"/>
  <c r="A12" i="3" s="1"/>
  <c r="F12" i="3" s="1" a="1"/>
  <c r="F12" i="3" s="1"/>
  <c r="B12" i="3" a="1"/>
  <c r="B12" i="3" s="1"/>
  <c r="C12" i="3" a="1"/>
  <c r="C12" i="3" s="1"/>
  <c r="D12" i="3" a="1"/>
  <c r="D12" i="3" s="1"/>
  <c r="E12" i="3" a="1"/>
  <c r="E12" i="3" s="1"/>
  <c r="G12" i="3" a="1"/>
  <c r="G12" i="3" s="1"/>
  <c r="A13" i="3" a="1"/>
  <c r="A13" i="3" s="1"/>
  <c r="F13" i="3" s="1" a="1"/>
  <c r="F13" i="3" s="1"/>
  <c r="B13" i="3" a="1"/>
  <c r="B13" i="3" s="1"/>
  <c r="C13" i="3" a="1"/>
  <c r="C13" i="3" s="1"/>
  <c r="D13" i="3" a="1"/>
  <c r="D13" i="3" s="1"/>
  <c r="E13" i="3" a="1"/>
  <c r="E13" i="3" s="1"/>
  <c r="G13" i="3" a="1"/>
  <c r="G13" i="3" s="1"/>
  <c r="A14" i="3" a="1"/>
  <c r="A14" i="3" s="1"/>
  <c r="F14" i="3" s="1" a="1"/>
  <c r="F14" i="3" s="1"/>
  <c r="B14" i="3" a="1"/>
  <c r="B14" i="3" s="1"/>
  <c r="C14" i="3" a="1"/>
  <c r="C14" i="3" s="1"/>
  <c r="D14" i="3" a="1"/>
  <c r="D14" i="3" s="1"/>
  <c r="E14" i="3" a="1"/>
  <c r="E14" i="3" s="1"/>
  <c r="G14" i="3" a="1"/>
  <c r="G14" i="3" s="1"/>
  <c r="A15" i="3" a="1"/>
  <c r="A15" i="3" s="1"/>
  <c r="F15" i="3" s="1" a="1"/>
  <c r="F15" i="3" s="1"/>
  <c r="B15" i="3" a="1"/>
  <c r="B15" i="3" s="1"/>
  <c r="C15" i="3" a="1"/>
  <c r="C15" i="3" s="1"/>
  <c r="D15" i="3" a="1"/>
  <c r="D15" i="3" s="1"/>
  <c r="E15" i="3" a="1"/>
  <c r="E15" i="3" s="1"/>
  <c r="G15" i="3" a="1"/>
  <c r="G15" i="3" s="1"/>
  <c r="A16" i="3" a="1"/>
  <c r="A16" i="3" s="1"/>
  <c r="F16" i="3" s="1" a="1"/>
  <c r="F16" i="3" s="1"/>
  <c r="B16" i="3" a="1"/>
  <c r="B16" i="3" s="1"/>
  <c r="C16" i="3" a="1"/>
  <c r="C16" i="3" s="1"/>
  <c r="D16" i="3" a="1"/>
  <c r="D16" i="3" s="1"/>
  <c r="E16" i="3" a="1"/>
  <c r="E16" i="3" s="1"/>
  <c r="G16" i="3" a="1"/>
  <c r="G16" i="3" s="1"/>
  <c r="A17" i="3" a="1"/>
  <c r="A17" i="3" s="1"/>
  <c r="F17" i="3" s="1" a="1"/>
  <c r="F17" i="3" s="1"/>
  <c r="B17" i="3" a="1"/>
  <c r="B17" i="3" s="1"/>
  <c r="C17" i="3" a="1"/>
  <c r="C17" i="3" s="1"/>
  <c r="D17" i="3" a="1"/>
  <c r="D17" i="3" s="1"/>
  <c r="E17" i="3" a="1"/>
  <c r="E17" i="3" s="1"/>
  <c r="G17" i="3" a="1"/>
  <c r="G17" i="3" s="1"/>
  <c r="A18" i="3" a="1"/>
  <c r="A18" i="3" s="1"/>
  <c r="F18" i="3" s="1" a="1"/>
  <c r="F18" i="3" s="1"/>
  <c r="B18" i="3" a="1"/>
  <c r="B18" i="3" s="1"/>
  <c r="C18" i="3" a="1"/>
  <c r="C18" i="3" s="1"/>
  <c r="D18" i="3" a="1"/>
  <c r="D18" i="3" s="1"/>
  <c r="E18" i="3" a="1"/>
  <c r="E18" i="3" s="1"/>
  <c r="G18" i="3" a="1"/>
  <c r="G18" i="3" s="1"/>
  <c r="A19" i="3" a="1"/>
  <c r="A19" i="3" s="1"/>
  <c r="F19" i="3" s="1" a="1"/>
  <c r="F19" i="3" s="1"/>
  <c r="B19" i="3" a="1"/>
  <c r="B19" i="3" s="1"/>
  <c r="C19" i="3" a="1"/>
  <c r="C19" i="3" s="1"/>
  <c r="D19" i="3" a="1"/>
  <c r="D19" i="3" s="1"/>
  <c r="E19" i="3" a="1"/>
  <c r="E19" i="3" s="1"/>
  <c r="G19" i="3" a="1"/>
  <c r="G19" i="3" s="1"/>
  <c r="A20" i="3" a="1"/>
  <c r="A20" i="3" s="1"/>
  <c r="F20" i="3" s="1" a="1"/>
  <c r="F20" i="3" s="1"/>
  <c r="B20" i="3" a="1"/>
  <c r="B20" i="3" s="1"/>
  <c r="C20" i="3" a="1"/>
  <c r="C20" i="3" s="1"/>
  <c r="D20" i="3" a="1"/>
  <c r="D20" i="3" s="1"/>
  <c r="E20" i="3" a="1"/>
  <c r="E20" i="3" s="1"/>
  <c r="G20" i="3" a="1"/>
  <c r="G20" i="3" s="1"/>
  <c r="A21" i="3" a="1"/>
  <c r="A21" i="3" s="1"/>
  <c r="F21" i="3" s="1" a="1"/>
  <c r="F21" i="3" s="1"/>
  <c r="B21" i="3" a="1"/>
  <c r="B21" i="3" s="1"/>
  <c r="C21" i="3" a="1"/>
  <c r="C21" i="3" s="1"/>
  <c r="D21" i="3" a="1"/>
  <c r="D21" i="3" s="1"/>
  <c r="E21" i="3" a="1"/>
  <c r="E21" i="3" s="1"/>
  <c r="G21" i="3" a="1"/>
  <c r="G21" i="3" s="1"/>
  <c r="A22" i="3" a="1"/>
  <c r="A22" i="3" s="1"/>
  <c r="F22" i="3" s="1" a="1"/>
  <c r="F22" i="3" s="1"/>
  <c r="B22" i="3" a="1"/>
  <c r="B22" i="3" s="1"/>
  <c r="C22" i="3" a="1"/>
  <c r="C22" i="3" s="1"/>
  <c r="D22" i="3" a="1"/>
  <c r="D22" i="3" s="1"/>
  <c r="E22" i="3" a="1"/>
  <c r="E22" i="3" s="1"/>
  <c r="G22" i="3" a="1"/>
  <c r="G22" i="3" s="1"/>
  <c r="A23" i="3" a="1"/>
  <c r="A23" i="3" s="1"/>
  <c r="F23" i="3" s="1" a="1"/>
  <c r="F23" i="3" s="1"/>
  <c r="B23" i="3" a="1"/>
  <c r="B23" i="3" s="1"/>
  <c r="C23" i="3" a="1"/>
  <c r="C23" i="3" s="1"/>
  <c r="D23" i="3" a="1"/>
  <c r="D23" i="3" s="1"/>
  <c r="E23" i="3" a="1"/>
  <c r="E23" i="3" s="1"/>
  <c r="G23" i="3" a="1"/>
  <c r="G23" i="3" s="1"/>
  <c r="A24" i="3" a="1"/>
  <c r="A24" i="3" s="1"/>
  <c r="F24" i="3" s="1" a="1"/>
  <c r="F24" i="3" s="1"/>
  <c r="B24" i="3" a="1"/>
  <c r="B24" i="3" s="1"/>
  <c r="C24" i="3" a="1"/>
  <c r="C24" i="3" s="1"/>
  <c r="D24" i="3" a="1"/>
  <c r="D24" i="3" s="1"/>
  <c r="E24" i="3" a="1"/>
  <c r="E24" i="3" s="1"/>
  <c r="G24" i="3" a="1"/>
  <c r="G24" i="3" s="1"/>
  <c r="A25" i="3" a="1"/>
  <c r="A25" i="3" s="1"/>
  <c r="F25" i="3" s="1" a="1"/>
  <c r="F25" i="3" s="1"/>
  <c r="B25" i="3" a="1"/>
  <c r="B25" i="3" s="1"/>
  <c r="C25" i="3" a="1"/>
  <c r="C25" i="3" s="1"/>
  <c r="D25" i="3" a="1"/>
  <c r="D25" i="3" s="1"/>
  <c r="E25" i="3" a="1"/>
  <c r="E25" i="3" s="1"/>
  <c r="G25" i="3" a="1"/>
  <c r="G25" i="3" s="1"/>
  <c r="A26" i="3" a="1"/>
  <c r="A26" i="3" s="1"/>
  <c r="F26" i="3" s="1" a="1"/>
  <c r="F26" i="3" s="1"/>
  <c r="B26" i="3" a="1"/>
  <c r="B26" i="3" s="1"/>
  <c r="C26" i="3" a="1"/>
  <c r="C26" i="3" s="1"/>
  <c r="D26" i="3" a="1"/>
  <c r="D26" i="3" s="1"/>
  <c r="E26" i="3" a="1"/>
  <c r="E26" i="3" s="1"/>
  <c r="G26" i="3" a="1"/>
  <c r="G26" i="3" s="1"/>
  <c r="A27" i="3" a="1"/>
  <c r="A27" i="3" s="1"/>
  <c r="F27" i="3" s="1" a="1"/>
  <c r="F27" i="3" s="1"/>
  <c r="B27" i="3" a="1"/>
  <c r="B27" i="3" s="1"/>
  <c r="C27" i="3" a="1"/>
  <c r="C27" i="3" s="1"/>
  <c r="D27" i="3" a="1"/>
  <c r="D27" i="3" s="1"/>
  <c r="E27" i="3" a="1"/>
  <c r="E27" i="3" s="1"/>
  <c r="G27" i="3" a="1"/>
  <c r="G27" i="3" s="1"/>
  <c r="A28" i="3" a="1"/>
  <c r="A28" i="3" s="1"/>
  <c r="F28" i="3" s="1" a="1"/>
  <c r="F28" i="3" s="1"/>
  <c r="B28" i="3" a="1"/>
  <c r="B28" i="3" s="1"/>
  <c r="C28" i="3" a="1"/>
  <c r="C28" i="3" s="1"/>
  <c r="D28" i="3" a="1"/>
  <c r="D28" i="3" s="1"/>
  <c r="E28" i="3" a="1"/>
  <c r="E28" i="3" s="1"/>
  <c r="G28" i="3" a="1"/>
  <c r="G28" i="3" s="1"/>
  <c r="A29" i="3" a="1"/>
  <c r="A29" i="3" s="1"/>
  <c r="F29" i="3" s="1" a="1"/>
  <c r="F29" i="3" s="1"/>
  <c r="B29" i="3" a="1"/>
  <c r="B29" i="3" s="1"/>
  <c r="C29" i="3" a="1"/>
  <c r="C29" i="3" s="1"/>
  <c r="D29" i="3" a="1"/>
  <c r="D29" i="3" s="1"/>
  <c r="E29" i="3" a="1"/>
  <c r="E29" i="3" s="1"/>
  <c r="G29" i="3" a="1"/>
  <c r="G29" i="3" s="1"/>
  <c r="A30" i="3" a="1"/>
  <c r="A30" i="3" s="1"/>
  <c r="F30" i="3" s="1" a="1"/>
  <c r="F30" i="3" s="1"/>
  <c r="B30" i="3" a="1"/>
  <c r="B30" i="3" s="1"/>
  <c r="C30" i="3" a="1"/>
  <c r="C30" i="3" s="1"/>
  <c r="D30" i="3" a="1"/>
  <c r="D30" i="3" s="1"/>
  <c r="E30" i="3" a="1"/>
  <c r="E30" i="3" s="1"/>
  <c r="G30" i="3" a="1"/>
  <c r="G30" i="3" s="1"/>
  <c r="A6" i="2" a="1"/>
  <c r="A6" i="2" s="1"/>
  <c r="J6" i="2" s="1" a="1"/>
  <c r="J6" i="2" s="1"/>
  <c r="B6" i="2" a="1"/>
  <c r="B6" i="2" s="1"/>
  <c r="C6" i="2" a="1"/>
  <c r="C6" i="2" s="1"/>
  <c r="D6" i="2" a="1"/>
  <c r="D6" i="2" s="1"/>
  <c r="I6" i="2" a="1"/>
  <c r="I6" i="2" s="1"/>
  <c r="L6" i="2" a="1"/>
  <c r="L6" i="2" s="1"/>
  <c r="M6" i="2" a="1"/>
  <c r="M6" i="2" s="1"/>
  <c r="N6" i="2" a="1"/>
  <c r="N6" i="2" s="1"/>
  <c r="A7" i="2" a="1"/>
  <c r="A7" i="2" s="1"/>
  <c r="J7" i="2" s="1" a="1"/>
  <c r="J7" i="2" s="1"/>
  <c r="B7" i="2" a="1"/>
  <c r="B7" i="2" s="1"/>
  <c r="C7" i="2" a="1"/>
  <c r="C7" i="2" s="1"/>
  <c r="D7" i="2" a="1"/>
  <c r="D7" i="2" s="1"/>
  <c r="I7" i="2" a="1"/>
  <c r="I7" i="2" s="1"/>
  <c r="L7" i="2" a="1"/>
  <c r="L7" i="2" s="1"/>
  <c r="M7" i="2" a="1"/>
  <c r="M7" i="2" s="1"/>
  <c r="N7" i="2" a="1"/>
  <c r="N7" i="2" s="1"/>
  <c r="A8" i="2" a="1"/>
  <c r="A8" i="2" s="1"/>
  <c r="K8" i="2" s="1" a="1"/>
  <c r="K8" i="2" s="1"/>
  <c r="B8" i="2" a="1"/>
  <c r="B8" i="2" s="1"/>
  <c r="C8" i="2" a="1"/>
  <c r="C8" i="2" s="1"/>
  <c r="D8" i="2" a="1"/>
  <c r="D8" i="2" s="1"/>
  <c r="I8" i="2" a="1"/>
  <c r="I8" i="2" s="1"/>
  <c r="L8" i="2" a="1"/>
  <c r="L8" i="2" s="1"/>
  <c r="M8" i="2" a="1"/>
  <c r="M8" i="2" s="1"/>
  <c r="N8" i="2" a="1"/>
  <c r="N8" i="2" s="1"/>
  <c r="A9" i="2" a="1"/>
  <c r="A9" i="2" s="1"/>
  <c r="K9" i="2" s="1" a="1"/>
  <c r="K9" i="2" s="1"/>
  <c r="B9" i="2" a="1"/>
  <c r="B9" i="2" s="1"/>
  <c r="C9" i="2" a="1"/>
  <c r="C9" i="2" s="1"/>
  <c r="D9" i="2" a="1"/>
  <c r="D9" i="2" s="1"/>
  <c r="I9" i="2" a="1"/>
  <c r="I9" i="2" s="1"/>
  <c r="L9" i="2" a="1"/>
  <c r="L9" i="2" s="1"/>
  <c r="M9" i="2" a="1"/>
  <c r="M9" i="2" s="1"/>
  <c r="N9" i="2" a="1"/>
  <c r="N9" i="2" s="1"/>
  <c r="A10" i="2" a="1"/>
  <c r="A10" i="2" s="1"/>
  <c r="B10" i="2" a="1"/>
  <c r="B10" i="2" s="1"/>
  <c r="C10" i="2" a="1"/>
  <c r="C10" i="2" s="1"/>
  <c r="D10" i="2" a="1"/>
  <c r="D10" i="2" s="1"/>
  <c r="I10" i="2" a="1"/>
  <c r="I10" i="2" s="1"/>
  <c r="L10" i="2" a="1"/>
  <c r="L10" i="2" s="1"/>
  <c r="M10" i="2" a="1"/>
  <c r="M10" i="2" s="1"/>
  <c r="N10" i="2" a="1"/>
  <c r="N10" i="2" s="1"/>
  <c r="A11" i="2" a="1"/>
  <c r="A11" i="2" s="1"/>
  <c r="J11" i="2" s="1" a="1"/>
  <c r="J11" i="2" s="1"/>
  <c r="B11" i="2" a="1"/>
  <c r="B11" i="2" s="1"/>
  <c r="C11" i="2" a="1"/>
  <c r="C11" i="2" s="1"/>
  <c r="D11" i="2" a="1"/>
  <c r="D11" i="2" s="1"/>
  <c r="I11" i="2" a="1"/>
  <c r="I11" i="2" s="1"/>
  <c r="L11" i="2" a="1"/>
  <c r="L11" i="2" s="1"/>
  <c r="M11" i="2" a="1"/>
  <c r="M11" i="2" s="1"/>
  <c r="N11" i="2" a="1"/>
  <c r="N11" i="2" s="1"/>
  <c r="A12" i="2" a="1"/>
  <c r="A12" i="2" s="1"/>
  <c r="K12" i="2" s="1" a="1"/>
  <c r="K12" i="2" s="1"/>
  <c r="B12" i="2" a="1"/>
  <c r="B12" i="2" s="1"/>
  <c r="C12" i="2" a="1"/>
  <c r="C12" i="2" s="1"/>
  <c r="D12" i="2" a="1"/>
  <c r="D12" i="2" s="1"/>
  <c r="I12" i="2" a="1"/>
  <c r="I12" i="2" s="1"/>
  <c r="L12" i="2" a="1"/>
  <c r="L12" i="2" s="1"/>
  <c r="M12" i="2" a="1"/>
  <c r="M12" i="2" s="1"/>
  <c r="N12" i="2" a="1"/>
  <c r="N12" i="2" s="1"/>
  <c r="A13" i="2" a="1"/>
  <c r="A13" i="2" s="1"/>
  <c r="J13" i="2" s="1" a="1"/>
  <c r="J13" i="2" s="1"/>
  <c r="B13" i="2" a="1"/>
  <c r="B13" i="2" s="1"/>
  <c r="C13" i="2" a="1"/>
  <c r="C13" i="2" s="1"/>
  <c r="D13" i="2" a="1"/>
  <c r="D13" i="2" s="1"/>
  <c r="I13" i="2" a="1"/>
  <c r="I13" i="2" s="1"/>
  <c r="L13" i="2" a="1"/>
  <c r="L13" i="2" s="1"/>
  <c r="M13" i="2" a="1"/>
  <c r="M13" i="2" s="1"/>
  <c r="N13" i="2" a="1"/>
  <c r="N13" i="2" s="1"/>
  <c r="A14" i="2" a="1"/>
  <c r="A14" i="2" s="1"/>
  <c r="J14" i="2" s="1" a="1"/>
  <c r="J14" i="2" s="1"/>
  <c r="B14" i="2" a="1"/>
  <c r="B14" i="2" s="1"/>
  <c r="C14" i="2" a="1"/>
  <c r="C14" i="2" s="1"/>
  <c r="D14" i="2" a="1"/>
  <c r="D14" i="2" s="1"/>
  <c r="I14" i="2" a="1"/>
  <c r="I14" i="2" s="1"/>
  <c r="L14" i="2" a="1"/>
  <c r="L14" i="2" s="1"/>
  <c r="M14" i="2" a="1"/>
  <c r="M14" i="2" s="1"/>
  <c r="N14" i="2" a="1"/>
  <c r="N14" i="2" s="1"/>
  <c r="A15" i="2" a="1"/>
  <c r="A15" i="2" s="1"/>
  <c r="B15" i="2" a="1"/>
  <c r="B15" i="2" s="1"/>
  <c r="C15" i="2" a="1"/>
  <c r="C15" i="2" s="1"/>
  <c r="D15" i="2" a="1"/>
  <c r="D15" i="2" s="1"/>
  <c r="I15" i="2" a="1"/>
  <c r="I15" i="2" s="1"/>
  <c r="L15" i="2" a="1"/>
  <c r="L15" i="2" s="1"/>
  <c r="M15" i="2" a="1"/>
  <c r="M15" i="2" s="1"/>
  <c r="N15" i="2" a="1"/>
  <c r="N15" i="2" s="1"/>
  <c r="A16" i="2" a="1"/>
  <c r="A16" i="2" s="1"/>
  <c r="B16" i="2" a="1"/>
  <c r="B16" i="2" s="1"/>
  <c r="C16" i="2" a="1"/>
  <c r="C16" i="2" s="1"/>
  <c r="D16" i="2" a="1"/>
  <c r="D16" i="2" s="1"/>
  <c r="I16" i="2" a="1"/>
  <c r="I16" i="2" s="1"/>
  <c r="L16" i="2" a="1"/>
  <c r="L16" i="2" s="1"/>
  <c r="M16" i="2" a="1"/>
  <c r="M16" i="2" s="1"/>
  <c r="N16" i="2" a="1"/>
  <c r="N16" i="2" s="1"/>
  <c r="A17" i="2" a="1"/>
  <c r="A17" i="2" s="1"/>
  <c r="B17" i="2" a="1"/>
  <c r="B17" i="2" s="1"/>
  <c r="C17" i="2" a="1"/>
  <c r="C17" i="2" s="1"/>
  <c r="D17" i="2" a="1"/>
  <c r="D17" i="2" s="1"/>
  <c r="I17" i="2" a="1"/>
  <c r="I17" i="2" s="1"/>
  <c r="L17" i="2" a="1"/>
  <c r="L17" i="2" s="1"/>
  <c r="M17" i="2" a="1"/>
  <c r="M17" i="2" s="1"/>
  <c r="N17" i="2" a="1"/>
  <c r="N17" i="2" s="1"/>
  <c r="A18" i="2" a="1"/>
  <c r="A18" i="2" s="1"/>
  <c r="J18" i="2" s="1" a="1"/>
  <c r="J18" i="2" s="1"/>
  <c r="B18" i="2" a="1"/>
  <c r="B18" i="2" s="1"/>
  <c r="C18" i="2" a="1"/>
  <c r="C18" i="2" s="1"/>
  <c r="D18" i="2" a="1"/>
  <c r="D18" i="2" s="1"/>
  <c r="I18" i="2" a="1"/>
  <c r="I18" i="2" s="1"/>
  <c r="L18" i="2" a="1"/>
  <c r="L18" i="2" s="1"/>
  <c r="M18" i="2" a="1"/>
  <c r="M18" i="2" s="1"/>
  <c r="N18" i="2" a="1"/>
  <c r="N18" i="2" s="1"/>
  <c r="A19" i="2" a="1"/>
  <c r="A19" i="2" s="1"/>
  <c r="K19" i="2" s="1" a="1"/>
  <c r="K19" i="2" s="1"/>
  <c r="B19" i="2" a="1"/>
  <c r="B19" i="2" s="1"/>
  <c r="C19" i="2" a="1"/>
  <c r="C19" i="2" s="1"/>
  <c r="D19" i="2" a="1"/>
  <c r="D19" i="2" s="1"/>
  <c r="I19" i="2" a="1"/>
  <c r="I19" i="2" s="1"/>
  <c r="L19" i="2" a="1"/>
  <c r="L19" i="2" s="1"/>
  <c r="M19" i="2" a="1"/>
  <c r="M19" i="2" s="1"/>
  <c r="N19" i="2" a="1"/>
  <c r="N19" i="2" s="1"/>
  <c r="A20" i="2" a="1"/>
  <c r="A20" i="2" s="1"/>
  <c r="K20" i="2" s="1" a="1"/>
  <c r="K20" i="2" s="1"/>
  <c r="B20" i="2" a="1"/>
  <c r="B20" i="2" s="1"/>
  <c r="C20" i="2" a="1"/>
  <c r="C20" i="2" s="1"/>
  <c r="D20" i="2" a="1"/>
  <c r="D20" i="2" s="1"/>
  <c r="I20" i="2" a="1"/>
  <c r="I20" i="2" s="1"/>
  <c r="L20" i="2" a="1"/>
  <c r="L20" i="2" s="1"/>
  <c r="M20" i="2" a="1"/>
  <c r="M20" i="2" s="1"/>
  <c r="N20" i="2" a="1"/>
  <c r="N20" i="2" s="1"/>
  <c r="A21" i="2" a="1"/>
  <c r="A21" i="2" s="1"/>
  <c r="J21" i="2" s="1" a="1"/>
  <c r="J21" i="2" s="1"/>
  <c r="B21" i="2" a="1"/>
  <c r="B21" i="2" s="1"/>
  <c r="C21" i="2" a="1"/>
  <c r="C21" i="2" s="1"/>
  <c r="D21" i="2" a="1"/>
  <c r="D21" i="2" s="1"/>
  <c r="I21" i="2" a="1"/>
  <c r="I21" i="2" s="1"/>
  <c r="L21" i="2" a="1"/>
  <c r="L21" i="2" s="1"/>
  <c r="M21" i="2" a="1"/>
  <c r="M21" i="2" s="1"/>
  <c r="N21" i="2" a="1"/>
  <c r="N21" i="2" s="1"/>
  <c r="A22" i="2" a="1"/>
  <c r="A22" i="2" s="1"/>
  <c r="J22" i="2" s="1" a="1"/>
  <c r="J22" i="2" s="1"/>
  <c r="B22" i="2" a="1"/>
  <c r="B22" i="2" s="1"/>
  <c r="C22" i="2" a="1"/>
  <c r="C22" i="2" s="1"/>
  <c r="D22" i="2" a="1"/>
  <c r="D22" i="2" s="1"/>
  <c r="I22" i="2" a="1"/>
  <c r="I22" i="2" s="1"/>
  <c r="L22" i="2" a="1"/>
  <c r="L22" i="2" s="1"/>
  <c r="M22" i="2" a="1"/>
  <c r="M22" i="2" s="1"/>
  <c r="N22" i="2" a="1"/>
  <c r="N22" i="2" s="1"/>
  <c r="A23" i="2" a="1"/>
  <c r="A23" i="2" s="1"/>
  <c r="J23" i="2" s="1" a="1"/>
  <c r="J23" i="2" s="1"/>
  <c r="B23" i="2" a="1"/>
  <c r="B23" i="2" s="1"/>
  <c r="C23" i="2" a="1"/>
  <c r="C23" i="2" s="1"/>
  <c r="D23" i="2" a="1"/>
  <c r="D23" i="2" s="1"/>
  <c r="I23" i="2" a="1"/>
  <c r="I23" i="2" s="1"/>
  <c r="L23" i="2" a="1"/>
  <c r="L23" i="2" s="1"/>
  <c r="M23" i="2" a="1"/>
  <c r="M23" i="2" s="1"/>
  <c r="N23" i="2" a="1"/>
  <c r="N23" i="2" s="1"/>
  <c r="A24" i="2" a="1"/>
  <c r="A24" i="2" s="1"/>
  <c r="B24" i="2" a="1"/>
  <c r="B24" i="2" s="1"/>
  <c r="C24" i="2" a="1"/>
  <c r="C24" i="2" s="1"/>
  <c r="D24" i="2" a="1"/>
  <c r="D24" i="2" s="1"/>
  <c r="I24" i="2" a="1"/>
  <c r="I24" i="2" s="1"/>
  <c r="L24" i="2" a="1"/>
  <c r="L24" i="2" s="1"/>
  <c r="M24" i="2" a="1"/>
  <c r="M24" i="2" s="1"/>
  <c r="N24" i="2" a="1"/>
  <c r="N24" i="2" s="1"/>
  <c r="A25" i="2" a="1"/>
  <c r="A25" i="2" s="1"/>
  <c r="J25" i="2" s="1" a="1"/>
  <c r="J25" i="2" s="1"/>
  <c r="B25" i="2" a="1"/>
  <c r="B25" i="2" s="1"/>
  <c r="C25" i="2" a="1"/>
  <c r="C25" i="2" s="1"/>
  <c r="D25" i="2" a="1"/>
  <c r="D25" i="2" s="1"/>
  <c r="I25" i="2" a="1"/>
  <c r="I25" i="2" s="1"/>
  <c r="L25" i="2" a="1"/>
  <c r="L25" i="2" s="1"/>
  <c r="M25" i="2" a="1"/>
  <c r="M25" i="2" s="1"/>
  <c r="N25" i="2" a="1"/>
  <c r="N25" i="2" s="1"/>
  <c r="A26" i="2" a="1"/>
  <c r="A26" i="2" s="1"/>
  <c r="J26" i="2" s="1" a="1"/>
  <c r="J26" i="2" s="1"/>
  <c r="B26" i="2" a="1"/>
  <c r="B26" i="2" s="1"/>
  <c r="C26" i="2" a="1"/>
  <c r="C26" i="2" s="1"/>
  <c r="D26" i="2" a="1"/>
  <c r="D26" i="2" s="1"/>
  <c r="I26" i="2" a="1"/>
  <c r="I26" i="2" s="1"/>
  <c r="L26" i="2" a="1"/>
  <c r="L26" i="2" s="1"/>
  <c r="M26" i="2" a="1"/>
  <c r="M26" i="2" s="1"/>
  <c r="N26" i="2" a="1"/>
  <c r="N26" i="2" s="1"/>
  <c r="A27" i="2" a="1"/>
  <c r="A27" i="2" s="1"/>
  <c r="K27" i="2" s="1" a="1"/>
  <c r="K27" i="2" s="1"/>
  <c r="B27" i="2" a="1"/>
  <c r="B27" i="2" s="1"/>
  <c r="C27" i="2" a="1"/>
  <c r="C27" i="2" s="1"/>
  <c r="D27" i="2" a="1"/>
  <c r="D27" i="2" s="1"/>
  <c r="I27" i="2" a="1"/>
  <c r="I27" i="2" s="1"/>
  <c r="L27" i="2" a="1"/>
  <c r="L27" i="2" s="1"/>
  <c r="M27" i="2" a="1"/>
  <c r="M27" i="2" s="1"/>
  <c r="N27" i="2" a="1"/>
  <c r="N27" i="2" s="1"/>
  <c r="A28" i="2" a="1"/>
  <c r="A28" i="2" s="1"/>
  <c r="B28" i="2" a="1"/>
  <c r="B28" i="2" s="1"/>
  <c r="C28" i="2" a="1"/>
  <c r="C28" i="2" s="1"/>
  <c r="D28" i="2" a="1"/>
  <c r="D28" i="2" s="1"/>
  <c r="I28" i="2" a="1"/>
  <c r="I28" i="2" s="1"/>
  <c r="L28" i="2" a="1"/>
  <c r="L28" i="2" s="1"/>
  <c r="M28" i="2" a="1"/>
  <c r="M28" i="2" s="1"/>
  <c r="N28" i="2" a="1"/>
  <c r="N28" i="2" s="1"/>
  <c r="A29" i="2" a="1"/>
  <c r="A29" i="2" s="1"/>
  <c r="B29" i="2" a="1"/>
  <c r="B29" i="2" s="1"/>
  <c r="C29" i="2" a="1"/>
  <c r="C29" i="2" s="1"/>
  <c r="D29" i="2" a="1"/>
  <c r="D29" i="2" s="1"/>
  <c r="I29" i="2" a="1"/>
  <c r="I29" i="2" s="1"/>
  <c r="L29" i="2" a="1"/>
  <c r="L29" i="2" s="1"/>
  <c r="M29" i="2" a="1"/>
  <c r="M29" i="2" s="1"/>
  <c r="N29" i="2" a="1"/>
  <c r="N29" i="2" s="1"/>
  <c r="A30" i="2" a="1"/>
  <c r="A30" i="2" s="1"/>
  <c r="B30" i="2" a="1"/>
  <c r="B30" i="2" s="1"/>
  <c r="C30" i="2" a="1"/>
  <c r="C30" i="2" s="1"/>
  <c r="D30" i="2" a="1"/>
  <c r="D30" i="2" s="1"/>
  <c r="I30" i="2" a="1"/>
  <c r="I30" i="2" s="1"/>
  <c r="L30" i="2" a="1"/>
  <c r="L30" i="2" s="1"/>
  <c r="M30" i="2" a="1"/>
  <c r="M30" i="2" s="1"/>
  <c r="N30" i="2" a="1"/>
  <c r="N30" i="2" s="1"/>
  <c r="A31" i="2" a="1"/>
  <c r="A31" i="2" s="1"/>
  <c r="B31" i="2" a="1"/>
  <c r="B31" i="2" s="1"/>
  <c r="C31" i="2" a="1"/>
  <c r="C31" i="2" s="1"/>
  <c r="D31" i="2" a="1"/>
  <c r="D31" i="2" s="1"/>
  <c r="I31" i="2" a="1"/>
  <c r="I31" i="2" s="1"/>
  <c r="L31" i="2" a="1"/>
  <c r="L31" i="2" s="1"/>
  <c r="M31" i="2" a="1"/>
  <c r="M31" i="2" s="1"/>
  <c r="N31" i="2" a="1"/>
  <c r="N31" i="2" s="1"/>
  <c r="A32" i="2" a="1"/>
  <c r="A32" i="2" s="1"/>
  <c r="J32" i="2" s="1" a="1"/>
  <c r="J32" i="2" s="1"/>
  <c r="B32" i="2" a="1"/>
  <c r="B32" i="2" s="1"/>
  <c r="C32" i="2" a="1"/>
  <c r="C32" i="2" s="1"/>
  <c r="D32" i="2" a="1"/>
  <c r="D32" i="2" s="1"/>
  <c r="I32" i="2" a="1"/>
  <c r="I32" i="2" s="1"/>
  <c r="L32" i="2" a="1"/>
  <c r="L32" i="2" s="1"/>
  <c r="M32" i="2" a="1"/>
  <c r="M32" i="2" s="1"/>
  <c r="N32" i="2" a="1"/>
  <c r="N32" i="2" s="1"/>
  <c r="A33" i="2" a="1"/>
  <c r="A33" i="2" s="1"/>
  <c r="B33" i="2" a="1"/>
  <c r="B33" i="2" s="1"/>
  <c r="C33" i="2" a="1"/>
  <c r="C33" i="2" s="1"/>
  <c r="D33" i="2" a="1"/>
  <c r="D33" i="2" s="1"/>
  <c r="I33" i="2" a="1"/>
  <c r="I33" i="2" s="1"/>
  <c r="L33" i="2" a="1"/>
  <c r="L33" i="2" s="1"/>
  <c r="M33" i="2" a="1"/>
  <c r="M33" i="2" s="1"/>
  <c r="N33" i="2" a="1"/>
  <c r="N33" i="2" s="1"/>
  <c r="A34" i="2" a="1"/>
  <c r="A34" i="2" s="1"/>
  <c r="J34" i="2" s="1" a="1"/>
  <c r="J34" i="2" s="1"/>
  <c r="B34" i="2" a="1"/>
  <c r="B34" i="2" s="1"/>
  <c r="C34" i="2" a="1"/>
  <c r="C34" i="2" s="1"/>
  <c r="D34" i="2" a="1"/>
  <c r="D34" i="2" s="1"/>
  <c r="I34" i="2" a="1"/>
  <c r="I34" i="2" s="1"/>
  <c r="L34" i="2" a="1"/>
  <c r="L34" i="2" s="1"/>
  <c r="M34" i="2" a="1"/>
  <c r="M34" i="2" s="1"/>
  <c r="N34" i="2" a="1"/>
  <c r="N34" i="2" s="1"/>
  <c r="A35" i="2" a="1"/>
  <c r="A35" i="2" s="1"/>
  <c r="B35" i="2" a="1"/>
  <c r="B35" i="2" s="1"/>
  <c r="C35" i="2" a="1"/>
  <c r="C35" i="2" s="1"/>
  <c r="D35" i="2" a="1"/>
  <c r="D35" i="2" s="1"/>
  <c r="I35" i="2" a="1"/>
  <c r="I35" i="2" s="1"/>
  <c r="L35" i="2" a="1"/>
  <c r="L35" i="2" s="1"/>
  <c r="M35" i="2" a="1"/>
  <c r="M35" i="2" s="1"/>
  <c r="N35" i="2" a="1"/>
  <c r="N35" i="2" s="1"/>
  <c r="A36" i="2" a="1"/>
  <c r="A36" i="2" s="1"/>
  <c r="J36" i="2" s="1" a="1"/>
  <c r="J36" i="2" s="1"/>
  <c r="B36" i="2" a="1"/>
  <c r="B36" i="2" s="1"/>
  <c r="C36" i="2" a="1"/>
  <c r="C36" i="2" s="1"/>
  <c r="D36" i="2" a="1"/>
  <c r="D36" i="2" s="1"/>
  <c r="I36" i="2" a="1"/>
  <c r="I36" i="2" s="1"/>
  <c r="L36" i="2" a="1"/>
  <c r="L36" i="2" s="1"/>
  <c r="M36" i="2" a="1"/>
  <c r="M36" i="2" s="1"/>
  <c r="N36" i="2" a="1"/>
  <c r="N36" i="2" s="1"/>
  <c r="A37" i="2" a="1"/>
  <c r="A37" i="2" s="1"/>
  <c r="B37" i="2" a="1"/>
  <c r="B37" i="2" s="1"/>
  <c r="C37" i="2" a="1"/>
  <c r="C37" i="2" s="1"/>
  <c r="D37" i="2" a="1"/>
  <c r="D37" i="2" s="1"/>
  <c r="I37" i="2" a="1"/>
  <c r="I37" i="2" s="1"/>
  <c r="L37" i="2" a="1"/>
  <c r="L37" i="2" s="1"/>
  <c r="M37" i="2" a="1"/>
  <c r="M37" i="2" s="1"/>
  <c r="N37" i="2" a="1"/>
  <c r="N37" i="2" s="1"/>
  <c r="A38" i="2" a="1"/>
  <c r="A38" i="2" s="1"/>
  <c r="B38" i="2" a="1"/>
  <c r="B38" i="2" s="1"/>
  <c r="C38" i="2" a="1"/>
  <c r="C38" i="2" s="1"/>
  <c r="D38" i="2" a="1"/>
  <c r="D38" i="2" s="1"/>
  <c r="I38" i="2" a="1"/>
  <c r="I38" i="2" s="1"/>
  <c r="L38" i="2" a="1"/>
  <c r="L38" i="2" s="1"/>
  <c r="M38" i="2" a="1"/>
  <c r="M38" i="2" s="1"/>
  <c r="N38" i="2" a="1"/>
  <c r="N38" i="2" s="1"/>
  <c r="A39" i="2" a="1"/>
  <c r="A39" i="2" s="1"/>
  <c r="J39" i="2" s="1" a="1"/>
  <c r="J39" i="2" s="1"/>
  <c r="B39" i="2" a="1"/>
  <c r="B39" i="2" s="1"/>
  <c r="C39" i="2" a="1"/>
  <c r="C39" i="2" s="1"/>
  <c r="D39" i="2" a="1"/>
  <c r="D39" i="2" s="1"/>
  <c r="I39" i="2" a="1"/>
  <c r="I39" i="2" s="1"/>
  <c r="L39" i="2" a="1"/>
  <c r="L39" i="2" s="1"/>
  <c r="M39" i="2" a="1"/>
  <c r="M39" i="2" s="1"/>
  <c r="N39" i="2" a="1"/>
  <c r="N39" i="2" s="1"/>
  <c r="A40" i="2" a="1"/>
  <c r="A40" i="2" s="1"/>
  <c r="K40" i="2" s="1" a="1"/>
  <c r="K40" i="2" s="1"/>
  <c r="B40" i="2" a="1"/>
  <c r="B40" i="2" s="1"/>
  <c r="C40" i="2" a="1"/>
  <c r="C40" i="2" s="1"/>
  <c r="D40" i="2" a="1"/>
  <c r="D40" i="2" s="1"/>
  <c r="I40" i="2" a="1"/>
  <c r="I40" i="2" s="1"/>
  <c r="L40" i="2" a="1"/>
  <c r="L40" i="2" s="1"/>
  <c r="M40" i="2" a="1"/>
  <c r="M40" i="2" s="1"/>
  <c r="N40" i="2" a="1"/>
  <c r="N40" i="2" s="1"/>
  <c r="A41" i="2" a="1"/>
  <c r="A41" i="2" s="1"/>
  <c r="B41" i="2" a="1"/>
  <c r="B41" i="2" s="1"/>
  <c r="C41" i="2" a="1"/>
  <c r="C41" i="2" s="1"/>
  <c r="D41" i="2" a="1"/>
  <c r="D41" i="2" s="1"/>
  <c r="I41" i="2" a="1"/>
  <c r="I41" i="2" s="1"/>
  <c r="L41" i="2" a="1"/>
  <c r="L41" i="2" s="1"/>
  <c r="M41" i="2" a="1"/>
  <c r="M41" i="2" s="1"/>
  <c r="N41" i="2" a="1"/>
  <c r="N41" i="2" s="1"/>
  <c r="A42" i="2" a="1"/>
  <c r="A42" i="2" s="1"/>
  <c r="J42" i="2" s="1" a="1"/>
  <c r="J42" i="2" s="1"/>
  <c r="B42" i="2" a="1"/>
  <c r="B42" i="2" s="1"/>
  <c r="C42" i="2" a="1"/>
  <c r="C42" i="2" s="1"/>
  <c r="D42" i="2" a="1"/>
  <c r="D42" i="2" s="1"/>
  <c r="I42" i="2" a="1"/>
  <c r="I42" i="2" s="1"/>
  <c r="L42" i="2" a="1"/>
  <c r="L42" i="2" s="1"/>
  <c r="M42" i="2" a="1"/>
  <c r="M42" i="2" s="1"/>
  <c r="N42" i="2" a="1"/>
  <c r="N42" i="2" s="1"/>
  <c r="A43" i="2" a="1"/>
  <c r="A43" i="2" s="1"/>
  <c r="K43" i="2" s="1" a="1"/>
  <c r="K43" i="2" s="1"/>
  <c r="B43" i="2" a="1"/>
  <c r="B43" i="2" s="1"/>
  <c r="C43" i="2" a="1"/>
  <c r="C43" i="2" s="1"/>
  <c r="D43" i="2" a="1"/>
  <c r="D43" i="2" s="1"/>
  <c r="I43" i="2" a="1"/>
  <c r="I43" i="2" s="1"/>
  <c r="L43" i="2" a="1"/>
  <c r="L43" i="2" s="1"/>
  <c r="M43" i="2" a="1"/>
  <c r="M43" i="2" s="1"/>
  <c r="N43" i="2" a="1"/>
  <c r="N43" i="2" s="1"/>
  <c r="A44" i="2" a="1"/>
  <c r="A44" i="2" s="1"/>
  <c r="K44" i="2" s="1" a="1"/>
  <c r="K44" i="2" s="1"/>
  <c r="B44" i="2" a="1"/>
  <c r="B44" i="2" s="1"/>
  <c r="C44" i="2" a="1"/>
  <c r="C44" i="2" s="1"/>
  <c r="D44" i="2" a="1"/>
  <c r="D44" i="2" s="1"/>
  <c r="I44" i="2" a="1"/>
  <c r="I44" i="2" s="1"/>
  <c r="L44" i="2" a="1"/>
  <c r="L44" i="2" s="1"/>
  <c r="M44" i="2" a="1"/>
  <c r="M44" i="2" s="1"/>
  <c r="N44" i="2" a="1"/>
  <c r="N44" i="2" s="1"/>
  <c r="A45" i="2" a="1"/>
  <c r="A45" i="2" s="1"/>
  <c r="B45" i="2" a="1"/>
  <c r="B45" i="2" s="1"/>
  <c r="C45" i="2" a="1"/>
  <c r="C45" i="2" s="1"/>
  <c r="D45" i="2" a="1"/>
  <c r="D45" i="2" s="1"/>
  <c r="I45" i="2" a="1"/>
  <c r="I45" i="2" s="1"/>
  <c r="L45" i="2" a="1"/>
  <c r="L45" i="2" s="1"/>
  <c r="M45" i="2" a="1"/>
  <c r="M45" i="2" s="1"/>
  <c r="N45" i="2" a="1"/>
  <c r="N45" i="2" s="1"/>
  <c r="A46" i="2" a="1"/>
  <c r="A46" i="2" s="1"/>
  <c r="J46" i="2" s="1" a="1"/>
  <c r="J46" i="2" s="1"/>
  <c r="B46" i="2" a="1"/>
  <c r="B46" i="2" s="1"/>
  <c r="C46" i="2" a="1"/>
  <c r="C46" i="2" s="1"/>
  <c r="D46" i="2" a="1"/>
  <c r="D46" i="2" s="1"/>
  <c r="I46" i="2" a="1"/>
  <c r="I46" i="2" s="1"/>
  <c r="L46" i="2" a="1"/>
  <c r="L46" i="2" s="1"/>
  <c r="M46" i="2" a="1"/>
  <c r="M46" i="2" s="1"/>
  <c r="N46" i="2" a="1"/>
  <c r="N46" i="2" s="1"/>
  <c r="A47" i="2" a="1"/>
  <c r="A47" i="2" s="1"/>
  <c r="K47" i="2" s="1" a="1"/>
  <c r="K47" i="2" s="1"/>
  <c r="B47" i="2" a="1"/>
  <c r="B47" i="2" s="1"/>
  <c r="C47" i="2" a="1"/>
  <c r="C47" i="2" s="1"/>
  <c r="D47" i="2" a="1"/>
  <c r="D47" i="2" s="1"/>
  <c r="I47" i="2" a="1"/>
  <c r="I47" i="2" s="1"/>
  <c r="L47" i="2" a="1"/>
  <c r="L47" i="2"/>
  <c r="M47" i="2" a="1"/>
  <c r="M47" i="2" s="1"/>
  <c r="N47" i="2" a="1"/>
  <c r="N47" i="2" s="1"/>
  <c r="A48" i="2" a="1"/>
  <c r="A48" i="2" s="1"/>
  <c r="K48" i="2" s="1" a="1"/>
  <c r="K48" i="2" s="1"/>
  <c r="B48" i="2" a="1"/>
  <c r="B48" i="2" s="1"/>
  <c r="C48" i="2" a="1"/>
  <c r="C48" i="2" s="1"/>
  <c r="D48" i="2" a="1"/>
  <c r="D48" i="2" s="1"/>
  <c r="I48" i="2" a="1"/>
  <c r="I48" i="2" s="1"/>
  <c r="L48" i="2" a="1"/>
  <c r="L48" i="2" s="1"/>
  <c r="M48" i="2" a="1"/>
  <c r="M48" i="2" s="1"/>
  <c r="N48" i="2" a="1"/>
  <c r="N48" i="2" s="1"/>
  <c r="A49" i="2" a="1"/>
  <c r="A49" i="2" s="1"/>
  <c r="B49" i="2" a="1"/>
  <c r="B49" i="2" s="1"/>
  <c r="C49" i="2" a="1"/>
  <c r="C49" i="2" s="1"/>
  <c r="D49" i="2" a="1"/>
  <c r="D49" i="2" s="1"/>
  <c r="I49" i="2" a="1"/>
  <c r="I49" i="2" s="1"/>
  <c r="L49" i="2" a="1"/>
  <c r="L49" i="2" s="1"/>
  <c r="M49" i="2" a="1"/>
  <c r="M49" i="2" s="1"/>
  <c r="N49" i="2" a="1"/>
  <c r="N49" i="2" s="1"/>
  <c r="A50" i="2" a="1"/>
  <c r="A50" i="2" s="1"/>
  <c r="J50" i="2" s="1" a="1"/>
  <c r="J50" i="2" s="1"/>
  <c r="B50" i="2" a="1"/>
  <c r="B50" i="2" s="1"/>
  <c r="C50" i="2" a="1"/>
  <c r="C50" i="2" s="1"/>
  <c r="D50" i="2" a="1"/>
  <c r="D50" i="2" s="1"/>
  <c r="I50" i="2" a="1"/>
  <c r="I50" i="2" s="1"/>
  <c r="L50" i="2" a="1"/>
  <c r="L50" i="2" s="1"/>
  <c r="M50" i="2" a="1"/>
  <c r="M50" i="2" s="1"/>
  <c r="N50" i="2" a="1"/>
  <c r="N50" i="2" s="1"/>
  <c r="A51" i="2" a="1"/>
  <c r="A51" i="2" s="1"/>
  <c r="K51" i="2" s="1" a="1"/>
  <c r="K51" i="2" s="1"/>
  <c r="B51" i="2" a="1"/>
  <c r="B51" i="2" s="1"/>
  <c r="C51" i="2" a="1"/>
  <c r="C51" i="2" s="1"/>
  <c r="D51" i="2" a="1"/>
  <c r="D51" i="2" s="1"/>
  <c r="I51" i="2" a="1"/>
  <c r="I51" i="2" s="1"/>
  <c r="L51" i="2" a="1"/>
  <c r="L51" i="2" s="1"/>
  <c r="M51" i="2" a="1"/>
  <c r="M51" i="2" s="1"/>
  <c r="N51" i="2" a="1"/>
  <c r="N51" i="2" s="1"/>
  <c r="A52" i="2" a="1"/>
  <c r="A52" i="2" s="1"/>
  <c r="K52" i="2" s="1" a="1"/>
  <c r="K52" i="2" s="1"/>
  <c r="B52" i="2" a="1"/>
  <c r="B52" i="2" s="1"/>
  <c r="C52" i="2" a="1"/>
  <c r="C52" i="2" s="1"/>
  <c r="D52" i="2" a="1"/>
  <c r="D52" i="2" s="1"/>
  <c r="I52" i="2" a="1"/>
  <c r="I52" i="2" s="1"/>
  <c r="L52" i="2" a="1"/>
  <c r="L52" i="2" s="1"/>
  <c r="M52" i="2" a="1"/>
  <c r="M52" i="2" s="1"/>
  <c r="N52" i="2" a="1"/>
  <c r="N52" i="2" s="1"/>
  <c r="A53" i="2" a="1"/>
  <c r="A53" i="2" s="1"/>
  <c r="B53" i="2" a="1"/>
  <c r="B53" i="2" s="1"/>
  <c r="C53" i="2" a="1"/>
  <c r="C53" i="2" s="1"/>
  <c r="D53" i="2" a="1"/>
  <c r="D53" i="2" s="1"/>
  <c r="I53" i="2" a="1"/>
  <c r="I53" i="2" s="1"/>
  <c r="L53" i="2" a="1"/>
  <c r="L53" i="2" s="1"/>
  <c r="M53" i="2" a="1"/>
  <c r="M53" i="2" s="1"/>
  <c r="N53" i="2" a="1"/>
  <c r="N53" i="2" s="1"/>
  <c r="A54" i="2" a="1"/>
  <c r="A54" i="2" s="1"/>
  <c r="J54" i="2" s="1" a="1"/>
  <c r="J54" i="2" s="1"/>
  <c r="B54" i="2" a="1"/>
  <c r="B54" i="2" s="1"/>
  <c r="C54" i="2" a="1"/>
  <c r="C54" i="2" s="1"/>
  <c r="D54" i="2" a="1"/>
  <c r="D54" i="2" s="1"/>
  <c r="I54" i="2" a="1"/>
  <c r="I54" i="2" s="1"/>
  <c r="L54" i="2" a="1"/>
  <c r="L54" i="2" s="1"/>
  <c r="M54" i="2" a="1"/>
  <c r="M54" i="2" s="1"/>
  <c r="N54" i="2" a="1"/>
  <c r="N54" i="2" s="1"/>
  <c r="A55" i="2" a="1"/>
  <c r="A55" i="2" s="1"/>
  <c r="K55" i="2" s="1" a="1"/>
  <c r="K55" i="2" s="1"/>
  <c r="B55" i="2" a="1"/>
  <c r="B55" i="2" s="1"/>
  <c r="C55" i="2" a="1"/>
  <c r="C55" i="2" s="1"/>
  <c r="D55" i="2" a="1"/>
  <c r="D55" i="2" s="1"/>
  <c r="I55" i="2" a="1"/>
  <c r="I55" i="2" s="1"/>
  <c r="L55" i="2" a="1"/>
  <c r="L55" i="2" s="1"/>
  <c r="M55" i="2" a="1"/>
  <c r="M55" i="2" s="1"/>
  <c r="N55" i="2" a="1"/>
  <c r="N55" i="2" s="1"/>
  <c r="D11" i="8"/>
  <c r="D10" i="8"/>
  <c r="D9" i="8"/>
  <c r="D8" i="8"/>
  <c r="D7" i="8"/>
  <c r="D6" i="8"/>
  <c r="B14" i="6"/>
  <c r="B13" i="6"/>
  <c r="B12" i="6"/>
  <c r="B11" i="6"/>
  <c r="B10" i="6"/>
  <c r="B9" i="6"/>
  <c r="B8" i="6"/>
  <c r="B7" i="6"/>
  <c r="B6" i="6"/>
  <c r="B5" i="6"/>
  <c r="M11" i="5"/>
  <c r="L11" i="5"/>
  <c r="K11" i="5"/>
  <c r="J11" i="5"/>
  <c r="K10" i="5"/>
  <c r="J10" i="5"/>
  <c r="K9" i="5"/>
  <c r="J9" i="5"/>
  <c r="K8" i="5"/>
  <c r="J8" i="5"/>
  <c r="K7" i="5"/>
  <c r="J7" i="5"/>
  <c r="K6" i="5"/>
  <c r="J6" i="5"/>
  <c r="H11" i="5"/>
  <c r="N11" i="5" s="1"/>
  <c r="G11" i="5"/>
  <c r="F11" i="5"/>
  <c r="G10" i="5"/>
  <c r="F10" i="5"/>
  <c r="E10" i="5"/>
  <c r="M10" i="5" s="1"/>
  <c r="D10" i="5"/>
  <c r="H10" i="5" s="1"/>
  <c r="N10" i="5" s="1"/>
  <c r="C10" i="5"/>
  <c r="G9" i="5"/>
  <c r="F9" i="5"/>
  <c r="E9" i="5"/>
  <c r="M9" i="5" s="1"/>
  <c r="D9" i="5"/>
  <c r="L9" i="5" s="1"/>
  <c r="C9" i="5"/>
  <c r="G8" i="5"/>
  <c r="F8" i="5"/>
  <c r="E8" i="5"/>
  <c r="M8" i="5" s="1"/>
  <c r="D8" i="5"/>
  <c r="L8" i="5" s="1"/>
  <c r="C8" i="5"/>
  <c r="G7" i="5"/>
  <c r="F7" i="5"/>
  <c r="E7" i="5"/>
  <c r="M7" i="5" s="1"/>
  <c r="D7" i="5"/>
  <c r="L7" i="5" s="1"/>
  <c r="C7" i="5"/>
  <c r="G6" i="5"/>
  <c r="F6" i="5"/>
  <c r="E6" i="5"/>
  <c r="M6" i="5" s="1"/>
  <c r="D6" i="5"/>
  <c r="H6" i="5" s="1"/>
  <c r="N6" i="5" s="1"/>
  <c r="C6" i="5"/>
  <c r="D23" i="1"/>
  <c r="D22" i="1"/>
  <c r="D21" i="1"/>
  <c r="D20" i="1"/>
  <c r="D19" i="1"/>
  <c r="D18" i="1"/>
  <c r="D17" i="1"/>
  <c r="D16" i="1"/>
  <c r="D15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F12" i="1"/>
  <c r="E12" i="1"/>
  <c r="C12" i="1"/>
  <c r="F11" i="1"/>
  <c r="E11" i="1"/>
  <c r="C11" i="1"/>
  <c r="F10" i="1"/>
  <c r="E10" i="1"/>
  <c r="C10" i="1"/>
  <c r="F9" i="1"/>
  <c r="E9" i="1"/>
  <c r="C9" i="1"/>
  <c r="F8" i="1"/>
  <c r="E8" i="1"/>
  <c r="C8" i="1"/>
  <c r="F7" i="1"/>
  <c r="E7" i="1"/>
  <c r="C7" i="1"/>
  <c r="J5" i="1"/>
  <c r="G5" i="1"/>
  <c r="H8" i="5" l="1"/>
  <c r="N8" i="5" s="1"/>
  <c r="J28" i="2" a="1"/>
  <c r="J28" i="2" s="1"/>
  <c r="K28" i="2" a="1"/>
  <c r="K28" i="2" s="1"/>
  <c r="K36" i="2" a="1"/>
  <c r="K36" i="2" s="1"/>
  <c r="L10" i="5"/>
  <c r="K34" i="2" a="1"/>
  <c r="K34" i="2" s="1"/>
  <c r="K6" i="2" a="1"/>
  <c r="K6" i="2" s="1"/>
  <c r="K14" i="2" a="1"/>
  <c r="K14" i="2" s="1"/>
  <c r="H9" i="5"/>
  <c r="N9" i="5" s="1"/>
  <c r="J31" i="2" a="1"/>
  <c r="J31" i="2" s="1"/>
  <c r="K31" i="2" a="1"/>
  <c r="K31" i="2" s="1"/>
  <c r="J24" i="2" a="1"/>
  <c r="J24" i="2" s="1"/>
  <c r="K24" i="2" a="1"/>
  <c r="K24" i="2" s="1"/>
  <c r="J35" i="2" a="1"/>
  <c r="J35" i="2" s="1"/>
  <c r="K35" i="2" a="1"/>
  <c r="K35" i="2" s="1"/>
  <c r="J41" i="2" a="1"/>
  <c r="J41" i="2" s="1"/>
  <c r="K41" i="2" a="1"/>
  <c r="K41" i="2" s="1"/>
  <c r="J38" i="2" a="1"/>
  <c r="J38" i="2" s="1"/>
  <c r="K38" i="2" a="1"/>
  <c r="K38" i="2" s="1"/>
  <c r="J29" i="2" a="1"/>
  <c r="J29" i="2" s="1"/>
  <c r="K29" i="2" a="1"/>
  <c r="K29" i="2" s="1"/>
  <c r="K23" i="2" a="1"/>
  <c r="K23" i="2" s="1"/>
  <c r="J48" i="2" a="1"/>
  <c r="J48" i="2" s="1"/>
  <c r="K26" i="2" a="1"/>
  <c r="K26" i="2" s="1"/>
  <c r="J19" i="2" a="1"/>
  <c r="J19" i="2" s="1"/>
  <c r="K25" i="2" a="1"/>
  <c r="K25" i="2" s="1"/>
  <c r="J52" i="2" a="1"/>
  <c r="J52" i="2" s="1"/>
  <c r="K22" i="2" a="1"/>
  <c r="K22" i="2" s="1"/>
  <c r="H7" i="5"/>
  <c r="N7" i="5" s="1"/>
  <c r="L6" i="5"/>
  <c r="K13" i="2" a="1"/>
  <c r="K13" i="2" s="1"/>
  <c r="J44" i="2" a="1"/>
  <c r="J44" i="2" s="1"/>
  <c r="K49" i="2" a="1"/>
  <c r="K49" i="2" s="1"/>
  <c r="J49" i="2" a="1"/>
  <c r="J49" i="2" s="1"/>
  <c r="J37" i="2" a="1"/>
  <c r="J37" i="2" s="1"/>
  <c r="K37" i="2" a="1"/>
  <c r="K37" i="2" s="1"/>
  <c r="K33" i="2" a="1"/>
  <c r="K33" i="2" s="1"/>
  <c r="J33" i="2" a="1"/>
  <c r="J33" i="2" s="1"/>
  <c r="J45" i="2" a="1"/>
  <c r="J45" i="2" s="1"/>
  <c r="K45" i="2" a="1"/>
  <c r="K45" i="2" s="1"/>
  <c r="J30" i="2" a="1"/>
  <c r="J30" i="2" s="1"/>
  <c r="K30" i="2" a="1"/>
  <c r="K30" i="2" s="1"/>
  <c r="J53" i="2" a="1"/>
  <c r="J53" i="2" s="1"/>
  <c r="K53" i="2" a="1"/>
  <c r="K53" i="2" s="1"/>
  <c r="J15" i="2" a="1"/>
  <c r="J15" i="2" s="1"/>
  <c r="K15" i="2" a="1"/>
  <c r="K15" i="2" s="1"/>
  <c r="J17" i="2" a="1"/>
  <c r="J17" i="2" s="1"/>
  <c r="K17" i="2" a="1"/>
  <c r="K17" i="2" s="1"/>
  <c r="J55" i="2" a="1"/>
  <c r="J55" i="2" s="1"/>
  <c r="J51" i="2" a="1"/>
  <c r="J51" i="2" s="1"/>
  <c r="J47" i="2" a="1"/>
  <c r="J47" i="2" s="1"/>
  <c r="J43" i="2" a="1"/>
  <c r="J43" i="2" s="1"/>
  <c r="J40" i="2" a="1"/>
  <c r="J40" i="2" s="1"/>
  <c r="K39" i="2" a="1"/>
  <c r="K39" i="2" s="1"/>
  <c r="K32" i="2" a="1"/>
  <c r="K32" i="2" s="1"/>
  <c r="J27" i="2" a="1"/>
  <c r="J27" i="2" s="1"/>
  <c r="K11" i="2" a="1"/>
  <c r="K11" i="2" s="1"/>
  <c r="K7" i="2" a="1"/>
  <c r="K7" i="2" s="1"/>
  <c r="K16" i="2" a="1"/>
  <c r="K16" i="2" s="1"/>
  <c r="J16" i="2" a="1"/>
  <c r="J16" i="2" s="1"/>
  <c r="K54" i="2" a="1"/>
  <c r="K54" i="2" s="1"/>
  <c r="K46" i="2" a="1"/>
  <c r="K46" i="2" s="1"/>
  <c r="J20" i="2" a="1"/>
  <c r="J20" i="2" s="1"/>
  <c r="J12" i="2" a="1"/>
  <c r="J12" i="2" s="1"/>
  <c r="J10" i="2" a="1"/>
  <c r="J10" i="2" s="1"/>
  <c r="K10" i="2" a="1"/>
  <c r="K10" i="2" s="1"/>
  <c r="K50" i="2" a="1"/>
  <c r="K50" i="2" s="1"/>
  <c r="K42" i="2" a="1"/>
  <c r="K42" i="2" s="1"/>
  <c r="K21" i="2" a="1"/>
  <c r="K21" i="2" s="1"/>
  <c r="K18" i="2" a="1"/>
  <c r="K18" i="2" s="1"/>
  <c r="J8" i="2" a="1"/>
  <c r="J8" i="2" s="1"/>
  <c r="J9" i="2" a="1"/>
  <c r="J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5" authorId="0" shapeId="0" xr:uid="{56C1D711-14CA-3840-BFB3-234914297A8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Dynamic UTC timestamp from the refreshed market_overview table; uses the same source-linked lookup pattern as dashboard market values.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FED33B-32D7-1240-BD7E-684BBAEFC150}" keepAlive="1" name="Query - incidents" description="Connection to the 'incidents' query in the workbook." type="5" refreshedVersion="8" background="1" saveData="1">
    <dbPr connection="Provider=Microsoft.Mashup.OleDb.1;Data Source=$Workbook$;Location=incidents;Extended Properties=&quot;&quot;" command="SELECT * FROM [incidents]"/>
  </connection>
  <connection id="2" xr16:uid="{9681F9F2-B89F-D04A-AC42-E7A6F80C2285}" keepAlive="1" name="Query - macro" description="Connection to the 'macro' query in the workbook." type="5" refreshedVersion="8" background="1" saveData="1">
    <dbPr connection="Provider=Microsoft.Mashup.OleDb.1;Data Source=$Workbook$;Location=macro;Extended Properties=&quot;&quot;" command="SELECT * FROM [macro]"/>
  </connection>
  <connection id="3" xr16:uid="{9FFBADBC-3F5B-264E-8F51-AB61DFF05150}" keepAlive="1" name="Query - market_overview" description="Connection to the 'market_overview' query in the workbook." type="5" refreshedVersion="8" background="1" saveData="1">
    <dbPr connection="Provider=Microsoft.Mashup.OleDb.1;Data Source=$Workbook$;Location=market_overview;Extended Properties=&quot;&quot;" command="SELECT * FROM [market_overview]"/>
  </connection>
  <connection id="4" xr16:uid="{50348DDF-2346-9B44-8F74-1AB52ACE20B6}" keepAlive="1" name="Query - quality_history" description="Connection to the 'quality_history' query in the workbook." type="5" refreshedVersion="8" background="1" saveData="1">
    <dbPr connection="Provider=Microsoft.Mashup.OleDb.1;Data Source=$Workbook$;Location=quality_history;Extended Properties=&quot;&quot;" command="SELECT * FROM [quality_history]"/>
  </connection>
  <connection id="5" xr16:uid="{D2B6E134-0ECB-3B49-9626-7B5D476A3AE3}" keepAlive="1" name="Query - quality_score" description="Connection to the 'quality_score' query in the workbook." type="5" refreshedVersion="8" background="1" saveData="1">
    <dbPr connection="Provider=Microsoft.Mashup.OleDb.1;Data Source=$Workbook$;Location=quality_score;Extended Properties=&quot;&quot;" command="SELECT * FROM [quality_score]"/>
  </connection>
  <connection id="6" xr16:uid="{1CC49A9F-3DA9-8947-B6E8-4305E0483FA6}" keepAlive="1" name="Query - quotes" description="Connection to the 'quotes' query in the workbook." type="5" refreshedVersion="8" background="1" saveData="1">
    <dbPr connection="Provider=Microsoft.Mashup.OleDb.1;Data Source=$Workbook$;Location=quotes;Extended Properties=&quot;&quot;" command="SELECT * FROM [quot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<sst xmlns="http://schemas.openxmlformats.org/spreadsheetml/2006/main" count="1341" uniqueCount="475">
  <si>
    <t>GLOBAL MARKET MONITOR</t>
  </si>
  <si>
    <t>Multi-Asset Market Data &amp; Data Quality Monitoring</t>
  </si>
  <si>
    <t>Open Incident Count</t>
  </si>
  <si>
    <t>MARKETS</t>
  </si>
  <si>
    <t>MACRO</t>
  </si>
  <si>
    <t>S&amp;P 500</t>
  </si>
  <si>
    <t>Nasdaq Composite</t>
  </si>
  <si>
    <t>Nikkei 225</t>
  </si>
  <si>
    <t>USD/JPY</t>
  </si>
  <si>
    <t>Gold</t>
  </si>
  <si>
    <t>Bitcoin</t>
  </si>
  <si>
    <t>Effective Federal Funds Rate</t>
  </si>
  <si>
    <t>US 10Y Treasury Yield</t>
  </si>
  <si>
    <t>US CPI YoY</t>
  </si>
  <si>
    <t>Japan 10Y Government Bond Yield</t>
  </si>
  <si>
    <t>Japan Overnight / Interbank Rate</t>
  </si>
  <si>
    <t>Japan CPI YoY</t>
  </si>
  <si>
    <t>DATA HEALTH</t>
  </si>
  <si>
    <t>CURRENT ALERTS</t>
  </si>
  <si>
    <t>Overall Quality Score</t>
  </si>
  <si>
    <t>Completeness %</t>
  </si>
  <si>
    <t>Timeliness %</t>
  </si>
  <si>
    <t>Validity %</t>
  </si>
  <si>
    <t>Consistency %</t>
  </si>
  <si>
    <t>Open Incidents</t>
  </si>
  <si>
    <t>Critical Incidents</t>
  </si>
  <si>
    <t>Severity</t>
  </si>
  <si>
    <t>Symbol</t>
  </si>
  <si>
    <t>Company</t>
  </si>
  <si>
    <t>Issue Type</t>
  </si>
  <si>
    <t>Details</t>
  </si>
  <si>
    <t>QUALITY &amp; INCIDENT TRENDS</t>
  </si>
  <si>
    <t>US STOCKS</t>
  </si>
  <si>
    <t>US equity market, quote quality, movers, and spread monitoring</t>
  </si>
  <si>
    <t>US EQUITY MONITOR</t>
  </si>
  <si>
    <t>Price</t>
  </si>
  <si>
    <t>Move bps</t>
  </si>
  <si>
    <t>Bid</t>
  </si>
  <si>
    <t>Ask</t>
  </si>
  <si>
    <t>Mid</t>
  </si>
  <si>
    <t>Spread bps</t>
  </si>
  <si>
    <t>Market Status</t>
  </si>
  <si>
    <t>Outlier Flag</t>
  </si>
  <si>
    <t>Crossed Flag</t>
  </si>
  <si>
    <t>Locked Flag</t>
  </si>
  <si>
    <t>JAPAN STOCKS</t>
  </si>
  <si>
    <t>Japan equity performance and data quality monitoring</t>
  </si>
  <si>
    <t>JAPAN EQUITY MONITOR</t>
  </si>
  <si>
    <t>Stale</t>
  </si>
  <si>
    <t>Outlier</t>
  </si>
  <si>
    <t>TECH</t>
  </si>
  <si>
    <t>AAPL, MSFT, NVDA, GOOGL, and META performance and quote monitoring</t>
  </si>
  <si>
    <t>TECH PERFORMANCE MONITOR</t>
  </si>
  <si>
    <t>Outlier Status</t>
  </si>
  <si>
    <t>United States and Japan macroeconomic indicator monitor</t>
  </si>
  <si>
    <t>MACRO DATA</t>
  </si>
  <si>
    <t>Country</t>
  </si>
  <si>
    <t>Indicator</t>
  </si>
  <si>
    <t>Source Date</t>
  </si>
  <si>
    <t>Unit</t>
  </si>
  <si>
    <t>Source</t>
  </si>
  <si>
    <t>DATA QUALITY</t>
  </si>
  <si>
    <t>Latest quality score, component trends, and monitoring methodology</t>
  </si>
  <si>
    <t>LATEST DATA QUALITY</t>
  </si>
  <si>
    <t>Overall Score</t>
  </si>
  <si>
    <t>Status</t>
  </si>
  <si>
    <t>Critical</t>
  </si>
  <si>
    <t>METHODOLOGY</t>
  </si>
  <si>
    <t>Completeness</t>
  </si>
  <si>
    <t>Measures missing required values.</t>
  </si>
  <si>
    <t>Timeliness</t>
  </si>
  <si>
    <t>Measures stale market or quote data.</t>
  </si>
  <si>
    <t>Validity</t>
  </si>
  <si>
    <t>Measures invalid, outlier, crossed, and locked conditions.</t>
  </si>
  <si>
    <t>Consistency</t>
  </si>
  <si>
    <t>Measures duplicate issues and quote spread consistency.</t>
  </si>
  <si>
    <t>30% Completeness + 25% Timeliness + 25% Validity + 20% Consistency.</t>
  </si>
  <si>
    <t>QUALITY TRENDS</t>
  </si>
  <si>
    <t>INCIDENTS</t>
  </si>
  <si>
    <t>Open data-quality incidents and resolved incident history</t>
  </si>
  <si>
    <t>OPEN INCIDENTS</t>
  </si>
  <si>
    <t>Occurrence Count</t>
  </si>
  <si>
    <t>Observed Value</t>
  </si>
  <si>
    <t>Threshold</t>
  </si>
  <si>
    <t>INCIDENT HISTORY</t>
  </si>
  <si>
    <t>DATA MODEL</t>
  </si>
  <si>
    <t>Refreshable source tables and transparent helper calculations</t>
  </si>
  <si>
    <t>SOURCE REGISTRY</t>
  </si>
  <si>
    <t>CSV File</t>
  </si>
  <si>
    <t>Excel Table</t>
  </si>
  <si>
    <t>Load Destination</t>
  </si>
  <si>
    <t>market_overview.csv</t>
  </si>
  <si>
    <t>tblMarket</t>
  </si>
  <si>
    <t>quotes.csv</t>
  </si>
  <si>
    <t>tblQuotes</t>
  </si>
  <si>
    <t>macro.csv</t>
  </si>
  <si>
    <t>tblMacro</t>
  </si>
  <si>
    <t>incidents.csv</t>
  </si>
  <si>
    <t>tblIncidents</t>
  </si>
  <si>
    <t>quality_score.csv</t>
  </si>
  <si>
    <t>tblQuality</t>
  </si>
  <si>
    <t>quality_history.csv</t>
  </si>
  <si>
    <t>tblQualityHistory</t>
  </si>
  <si>
    <t>Refresh design note</t>
  </si>
  <si>
    <t>SIGNAL GUIDE  |  Red = action required  |  Amber = review  |  Green = pass  |  N/A = unavailable (never treated as zero)</t>
  </si>
  <si>
    <t>CONTROL NOTE  |  Stale applies only during the instrument’s active market session. Spread review is relative unless a source threshold is provided.</t>
  </si>
  <si>
    <t>Spread bps†</t>
  </si>
  <si>
    <t>Stale Flag*</t>
  </si>
  <si>
    <t>TOP 5 POSITIVE MOVERS</t>
  </si>
  <si>
    <t>TOP 5 NEGATIVE MOVERS</t>
  </si>
  <si>
    <t>TOP 5 WIDEST SPREADS</t>
  </si>
  <si>
    <t>CONTROL NOTE  |  Missing Japanese quote fields remain blank or N/A. Stale must be evaluated against the Japan trading session, not elapsed time alone.</t>
  </si>
  <si>
    <t>TOP POSITIVE MOVERS</t>
  </si>
  <si>
    <t>TOP NEGATIVE MOVERS</t>
  </si>
  <si>
    <t>OUTLIER / REVIEW</t>
  </si>
  <si>
    <t>FOCUS LIST  |  AAPL, MSFT, NVDA, GOOGL, META only. Blank quote fields remain unavailable; no synthetic values are permitted.</t>
  </si>
  <si>
    <t>EXTREME MONITOR</t>
  </si>
  <si>
    <t>Largest Negative Move</t>
  </si>
  <si>
    <t>Widest Spread</t>
  </si>
  <si>
    <t>Price / Level</t>
  </si>
  <si>
    <t>Value</t>
  </si>
  <si>
    <t>High Incidents</t>
  </si>
  <si>
    <t>Medium Incidents</t>
  </si>
  <si>
    <t>Quality Components</t>
  </si>
  <si>
    <t>INTERPRETATION CONTROL  |  CPI YoY is shown only when the indicator and unit explicitly represent annual percentage change. CPI index levels are never relabeled as inflation.</t>
  </si>
  <si>
    <t>Validated Dashboard Value</t>
  </si>
  <si>
    <t>Interpretation / Validation</t>
  </si>
  <si>
    <t>MACRO SUMMARY</t>
  </si>
  <si>
    <t>Validation</t>
  </si>
  <si>
    <t>United States</t>
  </si>
  <si>
    <t>Japan</t>
  </si>
  <si>
    <t>ANALYST RULE  |  Severity overrides the aggregate score. Investigate CRITICAL/HIGH incidents first, then the lowest quality component.</t>
  </si>
  <si>
    <t>High</t>
  </si>
  <si>
    <t>Medium</t>
  </si>
  <si>
    <t>SCORE STATUS</t>
  </si>
  <si>
    <t>Range</t>
  </si>
  <si>
    <t>Interpretation</t>
  </si>
  <si>
    <t>95.00–100.00</t>
  </si>
  <si>
    <t>EXCELLENT</t>
  </si>
  <si>
    <t>90.00–94.99</t>
  </si>
  <si>
    <t>GOOD</t>
  </si>
  <si>
    <t>80.00–89.99</t>
  </si>
  <si>
    <t>REVIEW</t>
  </si>
  <si>
    <t>Below 80.00</t>
  </si>
  <si>
    <t>POOR</t>
  </si>
  <si>
    <t>Incident Count</t>
  </si>
  <si>
    <t>Total Open</t>
  </si>
  <si>
    <t>PRIORITY  |  CRITICAL → HIGH → MEDIUM | OPEN only | oldest unresolved, then highest occurrence count</t>
  </si>
  <si>
    <t>ANALYST CONTROL DEFINITIONS</t>
  </si>
  <si>
    <t>Control</t>
  </si>
  <si>
    <t>Transparent Rule</t>
  </si>
  <si>
    <t>Missing vs zero</t>
  </si>
  <si>
    <t>Blank, invalid, or unavailable values display as N/A or blank; they are never coerced to zero.</t>
  </si>
  <si>
    <t>Stale data</t>
  </si>
  <si>
    <t>Evaluate only during the instrument’s active market session. Market-closed securities are not stale solely because time elapsed.</t>
  </si>
  <si>
    <t>Where calculated: (Ask − Bid) / Mid × 10,000, only with valid numeric bid, ask, and mid.</t>
  </si>
  <si>
    <t>Crossed / locked</t>
  </si>
  <si>
    <t>Crossed when Ask &lt; Bid. Locked when Ask = Bid. These conditions override a normal spread interpretation.</t>
  </si>
  <si>
    <t>Incident priority</t>
  </si>
  <si>
    <t>CRITICAL, then HIGH, then MEDIUM; within severity, oldest unresolved first, then occurrence count.</t>
  </si>
  <si>
    <t>CPI interpretation</t>
  </si>
  <si>
    <t>Display CPI YoY only from an annual percentage-change field. Never display a CPI index level as a percentage.</t>
  </si>
  <si>
    <t>Senior analyst review</t>
  </si>
  <si>
    <t>Scope</t>
  </si>
  <si>
    <t>symbol</t>
  </si>
  <si>
    <t>name</t>
  </si>
  <si>
    <t>category</t>
  </si>
  <si>
    <t>country</t>
  </si>
  <si>
    <t>price</t>
  </si>
  <si>
    <t>volume</t>
  </si>
  <si>
    <t>move_bps</t>
  </si>
  <si>
    <t>zscore_20</t>
  </si>
  <si>
    <t>market_age_minutes</t>
  </si>
  <si>
    <t>market_expected_open</t>
  </si>
  <si>
    <t>market_stale_flag</t>
  </si>
  <si>
    <t>market_outlier_flag</t>
  </si>
  <si>
    <t>market_quality_status</t>
  </si>
  <si>
    <t>bid</t>
  </si>
  <si>
    <t>ask</t>
  </si>
  <si>
    <t>mid</t>
  </si>
  <si>
    <t>spread_bps</t>
  </si>
  <si>
    <t>quote_age_seconds</t>
  </si>
  <si>
    <t>quote_stale_flag</t>
  </si>
  <si>
    <t>crossed_flag</t>
  </si>
  <si>
    <t>locked_flag</t>
  </si>
  <si>
    <t>quote_quality_status</t>
  </si>
  <si>
    <t>final_quality_status</t>
  </si>
  <si>
    <t>market_updated_at_utc</t>
  </si>
  <si>
    <t>quote_updated_at_utc</t>
  </si>
  <si>
    <t>^GSPC</t>
  </si>
  <si>
    <t>Index</t>
  </si>
  <si>
    <t>US</t>
  </si>
  <si>
    <t>YES</t>
  </si>
  <si>
    <t>OK</t>
  </si>
  <si>
    <t>PASS</t>
  </si>
  <si>
    <t/>
  </si>
  <si>
    <t>^IXIC</t>
  </si>
  <si>
    <t>^N225</t>
  </si>
  <si>
    <t>NO</t>
  </si>
  <si>
    <t>MARKET_CLOSED</t>
  </si>
  <si>
    <t>^VIX</t>
  </si>
  <si>
    <t>CBOE Volatility Index</t>
  </si>
  <si>
    <t>Volatility</t>
  </si>
  <si>
    <t>STALE</t>
  </si>
  <si>
    <t>JPY=X</t>
  </si>
  <si>
    <t>FX</t>
  </si>
  <si>
    <t>Global</t>
  </si>
  <si>
    <t>GC=F</t>
  </si>
  <si>
    <t>Gold Futures</t>
  </si>
  <si>
    <t>Commodity</t>
  </si>
  <si>
    <t>BTC-USD</t>
  </si>
  <si>
    <t>Crypto</t>
  </si>
  <si>
    <t>6501.T</t>
  </si>
  <si>
    <t>Hitachi</t>
  </si>
  <si>
    <t>Japan Equity</t>
  </si>
  <si>
    <t>6758.T</t>
  </si>
  <si>
    <t>Sony Group</t>
  </si>
  <si>
    <t>6861.T</t>
  </si>
  <si>
    <t>Keyence</t>
  </si>
  <si>
    <t>7011.T</t>
  </si>
  <si>
    <t>Mitsubishi Heavy Industries</t>
  </si>
  <si>
    <t>7203.T</t>
  </si>
  <si>
    <t>Toyota Motor</t>
  </si>
  <si>
    <t>7974.T</t>
  </si>
  <si>
    <t>Nintendo</t>
  </si>
  <si>
    <t>8035.T</t>
  </si>
  <si>
    <t>Tokyo Electron</t>
  </si>
  <si>
    <t>8306.T</t>
  </si>
  <si>
    <t>Mitsubishi UFJ Financial Group</t>
  </si>
  <si>
    <t>9983.T</t>
  </si>
  <si>
    <t>Fast Retailing</t>
  </si>
  <si>
    <t>9984.T</t>
  </si>
  <si>
    <t>SoftBank Group</t>
  </si>
  <si>
    <t>BAC</t>
  </si>
  <si>
    <t>Bank of America</t>
  </si>
  <si>
    <t>US Equity</t>
  </si>
  <si>
    <t>CAT</t>
  </si>
  <si>
    <t>Caterpillar</t>
  </si>
  <si>
    <t>COST</t>
  </si>
  <si>
    <t>Costco</t>
  </si>
  <si>
    <t>CVX</t>
  </si>
  <si>
    <t>Chevron</t>
  </si>
  <si>
    <t>GE</t>
  </si>
  <si>
    <t>GE Aerospace</t>
  </si>
  <si>
    <t>JNJ</t>
  </si>
  <si>
    <t>Johnson &amp; Johnson</t>
  </si>
  <si>
    <t>JPM</t>
  </si>
  <si>
    <t>JPMorgan Chase</t>
  </si>
  <si>
    <t>LLY</t>
  </si>
  <si>
    <t>Eli Lilly</t>
  </si>
  <si>
    <t>WMT</t>
  </si>
  <si>
    <t>Walmart</t>
  </si>
  <si>
    <t>XOM</t>
  </si>
  <si>
    <t>Exxon Mobil</t>
  </si>
  <si>
    <t>AAPL</t>
  </si>
  <si>
    <t>Apple</t>
  </si>
  <si>
    <t>Tech</t>
  </si>
  <si>
    <t>GOOGL</t>
  </si>
  <si>
    <t>Alphabet</t>
  </si>
  <si>
    <t>META</t>
  </si>
  <si>
    <t>Meta Platforms</t>
  </si>
  <si>
    <t>MSFT</t>
  </si>
  <si>
    <t>Microsoft</t>
  </si>
  <si>
    <t>NVDA</t>
  </si>
  <si>
    <t>NVIDIA</t>
  </si>
  <si>
    <t>bid_size</t>
  </si>
  <si>
    <t>ask_size</t>
  </si>
  <si>
    <t>spread</t>
  </si>
  <si>
    <t>missing_flag</t>
  </si>
  <si>
    <t>stale_flag</t>
  </si>
  <si>
    <t>quality_status</t>
  </si>
  <si>
    <t>quote_timestamp_utc</t>
  </si>
  <si>
    <t>ingested_at_utc</t>
  </si>
  <si>
    <t>source</t>
  </si>
  <si>
    <t>Alpaca Crypto</t>
  </si>
  <si>
    <t>Alpaca IEX</t>
  </si>
  <si>
    <t>status</t>
  </si>
  <si>
    <t>severity</t>
  </si>
  <si>
    <t>issue_type</t>
  </si>
  <si>
    <t>occurrence_count</t>
  </si>
  <si>
    <t>first_seen_utc</t>
  </si>
  <si>
    <t>last_seen_utc</t>
  </si>
  <si>
    <t>resolved_at_utc</t>
  </si>
  <si>
    <t>observed_value</t>
  </si>
  <si>
    <t>threshold_value</t>
  </si>
  <si>
    <t>details</t>
  </si>
  <si>
    <t>dataset</t>
  </si>
  <si>
    <t>opened_run_id</t>
  </si>
  <si>
    <t>last_run_id</t>
  </si>
  <si>
    <t>OPEN</t>
  </si>
  <si>
    <t>HIGH</t>
  </si>
  <si>
    <t>market_snapshot</t>
  </si>
  <si>
    <t>b3eccff7d0514540bfec56aac12620b9</t>
  </si>
  <si>
    <t>2712122e8d7149318791e2bd297ede73</t>
  </si>
  <si>
    <t>MEDIUM</t>
  </si>
  <si>
    <t>WIDE_SPREAD</t>
  </si>
  <si>
    <t>quote_snapshot</t>
  </si>
  <si>
    <t>9e6a6a575dee43e487f2bd36770d3866</t>
  </si>
  <si>
    <t>42ac14622e2a44558ef8b8ad6694b674</t>
  </si>
  <si>
    <t>RESOLVED</t>
  </si>
  <si>
    <t>118f5513746344d09c676c1f2ba5a592</t>
  </si>
  <si>
    <t>Spread=148.15 bps; threshold=100.00 bps.</t>
  </si>
  <si>
    <t>fb730eb360de48758951b87d209c757c</t>
  </si>
  <si>
    <t>d52a7b55a8524addb5b8f733a881603c</t>
  </si>
  <si>
    <t>0516233a86454b9cae16f8cc219dcf95</t>
  </si>
  <si>
    <t>OUTLIER</t>
  </si>
  <si>
    <t>20-bar absolute return z-score exceeded 3.0; z=3.2416817522806123.</t>
  </si>
  <si>
    <t>54ce321d7e8f42b0af187bfb15eb7171</t>
  </si>
  <si>
    <t>20-bar absolute return z-score exceeded 3.0; z=3.2430299696394727.</t>
  </si>
  <si>
    <t>3a428ee7853649ae9817f88a4bdece23</t>
  </si>
  <si>
    <t>764624f56e8e444291297385596640e7</t>
  </si>
  <si>
    <t>20-bar absolute return z-score exceeded 3.0; z=-3.4401399160703434.</t>
  </si>
  <si>
    <t>20-bar absolute return z-score exceeded 3.0; z=-3.6040373300284894.</t>
  </si>
  <si>
    <t>20-bar absolute return z-score exceeded 3.0; z=3.3719789454009277.</t>
  </si>
  <si>
    <t>20-bar absolute return z-score exceeded 3.0; z=3.2191864804086334.</t>
  </si>
  <si>
    <t>Spread=119.47 bps; threshold=100.00 bps.</t>
  </si>
  <si>
    <t>adf7a074a0314dcd99de02199cb468c3</t>
  </si>
  <si>
    <t>overall_score</t>
  </si>
  <si>
    <t>completeness_pct</t>
  </si>
  <si>
    <t>timeliness_pct</t>
  </si>
  <si>
    <t>validity_pct</t>
  </si>
  <si>
    <t>consistency_pct</t>
  </si>
  <si>
    <t>open_incident_count</t>
  </si>
  <si>
    <t>critical_incident_count</t>
  </si>
  <si>
    <t>high_incident_count</t>
  </si>
  <si>
    <t>medium_incident_count</t>
  </si>
  <si>
    <t>market_records</t>
  </si>
  <si>
    <t>quote_records</t>
  </si>
  <si>
    <t>evaluated_records</t>
  </si>
  <si>
    <t>run_id</t>
  </si>
  <si>
    <t>notes</t>
  </si>
  <si>
    <t>Weights: completeness 30%, timeliness 25%, validity 25%, consistency 20%. Closed exchange rows are excluded from live scoring.</t>
  </si>
  <si>
    <t>90752085866b495f9cefc9b8aca6266f</t>
  </si>
  <si>
    <t>b544e82dd45a477fb3757de3abcb00ee</t>
  </si>
  <si>
    <t>56441faffcfc45138413da64089ebe0c</t>
  </si>
  <si>
    <t>2de6f2575a6b4d999aee23e0f4db8c5c</t>
  </si>
  <si>
    <t>b63cb10ef4df414f81111856d708d369</t>
  </si>
  <si>
    <t>b57ae92266a84886b8e15cace526571d</t>
  </si>
  <si>
    <t>c3f011ce157e4caea219545eed307b6a</t>
  </si>
  <si>
    <t>812737e0e5ac424988e29bfdfdb0b11b</t>
  </si>
  <si>
    <t>d747247ce3064d5282158a92cc4fa19c</t>
  </si>
  <si>
    <t>efd677e92bb94cb78df2d87840e7923d</t>
  </si>
  <si>
    <t>e059385306f14b1f87d7e4c12202d226</t>
  </si>
  <si>
    <t>eaef05806c954356ac1b70fdfe37ff53</t>
  </si>
  <si>
    <t>47930d4e0eb343bf8d7a4413b3f49fed</t>
  </si>
  <si>
    <t>d4dd7a92444f4ea7b7f00674e8255c71</t>
  </si>
  <si>
    <t>13e721d9432745b38f45dee53ea736ef</t>
  </si>
  <si>
    <t>393a94d62f3c4cf48e79cc03a6287d38</t>
  </si>
  <si>
    <t>ac9940f7b208404cb3ea58e0ac157994</t>
  </si>
  <si>
    <t>11e2d070f0b64329b0ba15caa92b6d5b</t>
  </si>
  <si>
    <t>8a15f6a3a1bf4a4eb8de438a9d6de834</t>
  </si>
  <si>
    <t>db43b8e35faa4185baa98601e2a0b0c3</t>
  </si>
  <si>
    <t>indicator</t>
  </si>
  <si>
    <t>series_id</t>
  </si>
  <si>
    <t>source_date</t>
  </si>
  <si>
    <t>dashboard_value</t>
  </si>
  <si>
    <t>dashboard_unit</t>
  </si>
  <si>
    <t>value</t>
  </si>
  <si>
    <t>yoy_percent</t>
  </si>
  <si>
    <t>unit</t>
  </si>
  <si>
    <t>frequency</t>
  </si>
  <si>
    <t>DFF</t>
  </si>
  <si>
    <t>2026-09-22</t>
  </si>
  <si>
    <t>Percent</t>
  </si>
  <si>
    <t>Daily</t>
  </si>
  <si>
    <t>FRED</t>
  </si>
  <si>
    <t>DGS10</t>
  </si>
  <si>
    <t>US CPI</t>
  </si>
  <si>
    <t>CPIAUCSL</t>
  </si>
  <si>
    <t>2026-08-01</t>
  </si>
  <si>
    <t>Percent YoY</t>
  </si>
  <si>
    <t>Monthly</t>
  </si>
  <si>
    <t>IRLTLT01JPM156N</t>
  </si>
  <si>
    <t>eStat:0004052037</t>
  </si>
  <si>
    <t>2026000808</t>
  </si>
  <si>
    <t>Percent change over year</t>
  </si>
  <si>
    <t>Japan e-Stat</t>
  </si>
  <si>
    <t>Japan Overnight Call / Interbank Rate</t>
  </si>
  <si>
    <t>IRSTCI01JPM156N</t>
  </si>
  <si>
    <t>market_overview</t>
  </si>
  <si>
    <t>quotes</t>
  </si>
  <si>
    <t>macro</t>
  </si>
  <si>
    <t>incidents</t>
  </si>
  <si>
    <t>quality_score</t>
  </si>
  <si>
    <t>quality_history</t>
  </si>
  <si>
    <t>Refresh All updates the six connected source tables. Dashboard formulas, rankings, alerts, validation controls, and chart helper ranges reference those tables directly.</t>
  </si>
  <si>
    <t>Open Count</t>
  </si>
  <si>
    <t>Last Market Update (UTC)</t>
  </si>
  <si>
    <t>Last Quote Update (UTC)</t>
  </si>
  <si>
    <t>Composite Quality Score</t>
  </si>
  <si>
    <t>Open Incidents (severity wins)</t>
  </si>
  <si>
    <t>Move (bps)</t>
  </si>
  <si>
    <t>Analyst Quality</t>
  </si>
  <si>
    <t>Priority: CRITICAL → HIGH → MEDIUM | OPEN only | oldest unresolved, then recurrence</t>
  </si>
  <si>
    <t>First Seen (UTC)</t>
  </si>
  <si>
    <t>Composite Score</t>
  </si>
  <si>
    <t>Composite Status</t>
  </si>
  <si>
    <t>Validated Source Date</t>
  </si>
  <si>
    <t>Last Ingestion (UTC)</t>
  </si>
  <si>
    <t>Quote Age @ Ingest</t>
  </si>
  <si>
    <t>Analyst Quality Status</t>
  </si>
  <si>
    <t>Market Age @ Ingest</t>
  </si>
  <si>
    <t>DYNAMIC CHART DATA — source-linked</t>
  </si>
  <si>
    <t>Last Seen (UTC)</t>
  </si>
  <si>
    <t>Resolved At (UTC)</t>
  </si>
  <si>
    <t>Priority Rank</t>
  </si>
  <si>
    <t>Last Run ID</t>
  </si>
  <si>
    <t>Automated CSV-backed tables active; structured formulas and monitoring outputs are source-linked.</t>
  </si>
  <si>
    <t>AUTOMATION WORKFLOW</t>
  </si>
  <si>
    <t>Stage</t>
  </si>
  <si>
    <t>Implementation / workbook evidence</t>
  </si>
  <si>
    <t>APIs / market feeds</t>
  </si>
  <si>
    <t>External market, quote, and macro data are collected upstream.</t>
  </si>
  <si>
    <t>Python ingestion</t>
  </si>
  <si>
    <t>Python pipeline retrieves, normalizes, and prepares monitoring records.</t>
  </si>
  <si>
    <t>Cleaning / validation</t>
  </si>
  <si>
    <t>Session-aware stale, missing, outlier, crossed, locked, and spread checks are applied.</t>
  </si>
  <si>
    <t>SQLite</t>
  </si>
  <si>
    <t>Validated records, run history, and incident state persist between pipeline runs.</t>
  </si>
  <si>
    <t>Dashboard CSVs</t>
  </si>
  <si>
    <t>Six output CSVs feed structured Excel source tables without manual re-keying.</t>
  </si>
  <si>
    <t>Excel Refresh All</t>
  </si>
  <si>
    <t>Connected tables refresh; formulas, rankings, alerts, and rolling charts recalculate.</t>
  </si>
  <si>
    <t>Monitoring output</t>
  </si>
  <si>
    <t>Open incidents, severity priority, quality scoring, and historical trends support analyst review.</t>
  </si>
  <si>
    <t>QUALITY FLAG DEFINITIONS</t>
  </si>
  <si>
    <t>Flag</t>
  </si>
  <si>
    <t>Analyst meaning</t>
  </si>
  <si>
    <t>MISSING</t>
  </si>
  <si>
    <t>A required field is unavailable; display blank or N/A, never zero.</t>
  </si>
  <si>
    <t>Age exceeds the threshold while the instrument is expected to be trading.</t>
  </si>
  <si>
    <t>A statistical move exceeds the configured z-score threshold and needs review.</t>
  </si>
  <si>
    <t>Bid/ask spread exceeds the source threshold; open incidents override a source PASS in analyst views.</t>
  </si>
  <si>
    <t>CROSSED</t>
  </si>
  <si>
    <t>Ask is below bid; invalid quote state and immediate review.</t>
  </si>
  <si>
    <t>LOCKED</t>
  </si>
  <si>
    <t>Ask equals bid; valid market condition in some venues but explicitly surfaced.</t>
  </si>
  <si>
    <t>Elapsed age alone does not create a stale flag outside the active session.</t>
  </si>
  <si>
    <t>0f5c6615164e49f098309b7e1ebf1b0b</t>
  </si>
  <si>
    <t>Spread=689.30 bps; threshold=100.00 bps.</t>
  </si>
  <si>
    <t>Spread=541.93 bps; threshold=100.00 bps.</t>
  </si>
  <si>
    <t>Spread=189.42 bps; threshold=100.00 bps.</t>
  </si>
  <si>
    <t>fd424558038c40e7b3a3652d3ccde200</t>
  </si>
  <si>
    <t>3b8233efcc3041089646ec9e709262e6</t>
  </si>
  <si>
    <t>4e781a7ad861497f85e4480a8966beb8</t>
  </si>
  <si>
    <t>7169e3da3e96436886ecfcc41312ea9c</t>
  </si>
  <si>
    <t>fff7d8837fd643159976bb3c3fb9f39f</t>
  </si>
  <si>
    <t>7b8c27eb18454de7956e55024bce5caf</t>
  </si>
  <si>
    <t>a55df3c0ce9746809aac806d047fbac2</t>
  </si>
  <si>
    <t>5b0d1fb076834b89b7ad7ec1d73ced77</t>
  </si>
  <si>
    <t>d0b2f5426e0c41af8ff1e77475e8630d</t>
  </si>
  <si>
    <t>1630d21407664a3a8a6915cf16219505</t>
  </si>
  <si>
    <t>98bde01b42294506a562c8874cf2efb4</t>
  </si>
  <si>
    <t>NOT_AVAILABLE</t>
  </si>
  <si>
    <t>Market data age=18.33662945 min; threshold=15.0 min.</t>
  </si>
  <si>
    <t>Spread=551.02 bps; threshold=100.00 bps.</t>
  </si>
  <si>
    <t>Spread=655.21 bps; threshold=100.00 bps.</t>
  </si>
  <si>
    <t>Spread=360.56 bps; threshold=100.00 bps.</t>
  </si>
  <si>
    <t>f6f3ab623a874fcbbef09e686d7b3526</t>
  </si>
  <si>
    <t>Spread=455.80 bps; threshold=100.00 bps.</t>
  </si>
  <si>
    <t>8da74a6d6755409baec92c959cfabc27</t>
  </si>
  <si>
    <t>5b65b9d5d0e34a01a6c39de112491d1a</t>
  </si>
  <si>
    <t>d94717da34ce4f1a8908da1d22c53ed5</t>
  </si>
  <si>
    <t>d524d9fe55d745498477cea8c4d71237</t>
  </si>
  <si>
    <t>11df17f8a74f4b2495ef2885a2f838c8</t>
  </si>
  <si>
    <t>75626af352214a429ba8becc3eb51c43</t>
  </si>
  <si>
    <t>073e831cb76c483da0cb3fabda3523a5</t>
  </si>
  <si>
    <t>cb2ed64fe27f4b498d95c8002267494c</t>
  </si>
  <si>
    <t>3231116459be47d499c929744ce40ebd</t>
  </si>
  <si>
    <t>fe5ad003293346d498d9d80c5928622b</t>
  </si>
  <si>
    <t>7305b3ad52124ed98381255ec3dd5f1d</t>
  </si>
  <si>
    <t>Market data age=44.00885653333333 min; threshold=15.0 min.</t>
  </si>
  <si>
    <t>c87d6d85b58d42a3adbe2ba9e687212e</t>
  </si>
  <si>
    <t>db277b2360ba4b5d947ee61e58c77f23</t>
  </si>
  <si>
    <t>72026a350c1f4d5db36678e0d0ebc8a2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</si>
</sst>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#,##0.00;[Red]\(#,##0.00\);\-"/>
    <numFmt numFmtId="165" formatCode="0.00\ &quot;bps&quot;;[Red]\(0.00\)\ &quot;bps&quot;;\-"/>
    <numFmt numFmtId="166" formatCode="yyyy\-mm\-dd"/>
    <numFmt numFmtId="167" formatCode="yyyy\-mm\-dd\ hh:mm"/>
    <numFmt numFmtId="168" formatCode="0.00\%"/>
    <numFmt numFmtId="169" formatCode="0.0\ &quot;sec&quot;"/>
    <numFmt numFmtId="170" formatCode="0.00\ &quot;bps&quot;"/>
    <numFmt numFmtId="171" formatCode="0.0\ &quot;min&quot;"/>
    <numFmt numFmtId="172" formatCode="yyyy\-mm\-dd\ hh:mm;;"/>
    <numFmt numFmtId="173" formatCode="0.00\ &quot;bps&quot;;\(0.00\)\ &quot;bps&quot;;\-"/>
    <numFmt numFmtId="174" formatCode="0.00;\-0.00;&quot;N/A&quot;;@"/>
    <numFmt numFmtId="175" formatCode=";;;@"/>
    <numFmt numFmtId="176" formatCode="yyyy\-mm\-dd;yyyy\-mm\-dd;;@"/>
    <numFmt numFmtId="177" formatCode="mm\-dd\ hh:mm"/>
    <numFmt numFmtId="178" formatCode="0.0"/>
    <numFmt numFmtId="179" formatCode="m/d\ hh:mm"/>
    <numFmt numFmtId="181" formatCode="m/d\ h:mm"/>
    <numFmt numFmtId="182" formatCode="0.0\%"/>
  </numFmts>
  <fonts count="55" x14ac:knownFonts="1">
    <font>
      <sz val="12"/>
      <color theme="1"/>
      <name val="Aptos Narrow"/>
      <family val="2"/>
      <scheme val="minor"/>
    </font>
    <font>
      <b/>
      <sz val="18"/>
      <color rgb="FFFFFFFF"/>
      <name val="Aptos"/>
    </font>
    <font>
      <i/>
      <sz val="10"/>
      <color rgb="FF5B6573"/>
      <name val="Aptos"/>
    </font>
    <font>
      <sz val="12"/>
      <color theme="1"/>
      <name val="Aptos"/>
    </font>
    <font>
      <b/>
      <sz val="12"/>
      <color theme="1"/>
      <name val="Aptos"/>
    </font>
    <font>
      <b/>
      <sz val="12"/>
      <color rgb="FFFFFFFF"/>
      <name val="Aptos"/>
    </font>
    <font>
      <b/>
      <sz val="12"/>
      <color rgb="FF222222"/>
      <name val="Aptos"/>
    </font>
    <font>
      <b/>
      <sz val="12"/>
      <color rgb="FF7A4E00"/>
      <name val="Aptos"/>
    </font>
    <font>
      <i/>
      <sz val="12"/>
      <color rgb="FF98A2B3"/>
      <name val="Aptos"/>
    </font>
    <font>
      <i/>
      <sz val="12"/>
      <color rgb="FF667085"/>
      <name val="Aptos"/>
    </font>
    <font>
      <b/>
      <sz val="13"/>
      <color rgb="FF1D2330"/>
      <name val="Aptos"/>
    </font>
    <font>
      <b/>
      <sz val="14"/>
      <color rgb="FF1D2330"/>
      <name val="Aptos"/>
    </font>
    <font>
      <sz val="12"/>
      <color rgb="FF667085"/>
      <name val="Aptos"/>
    </font>
    <font>
      <b/>
      <sz val="12"/>
      <color rgb="FF008000"/>
      <name val="Aptos"/>
    </font>
    <font>
      <b/>
      <sz val="12"/>
      <color rgb="FF2F5597"/>
      <name val="Aptos"/>
    </font>
    <font>
      <b/>
      <sz val="12"/>
      <color rgb="FFC65911"/>
      <name val="Aptos"/>
    </font>
    <font>
      <b/>
      <sz val="12"/>
      <color rgb="FFC00000"/>
      <name val="Aptos"/>
    </font>
    <font>
      <sz val="10"/>
      <color rgb="FF222222"/>
      <name val="Calibri"/>
      <family val="2"/>
    </font>
    <font>
      <b/>
      <sz val="10"/>
      <color rgb="FF9C0006"/>
      <name val="Calibri"/>
      <family val="2"/>
    </font>
    <font>
      <sz val="9"/>
      <color rgb="FF222222"/>
      <name val="Calibri"/>
      <family val="2"/>
    </font>
    <font>
      <b/>
      <sz val="18"/>
      <color rgb="FFFFFFFF"/>
      <name val="Arial"/>
      <family val="2"/>
    </font>
    <font>
      <b/>
      <sz val="15"/>
      <color rgb="FFFFFFFF"/>
      <name val="Arial"/>
      <family val="2"/>
    </font>
    <font>
      <i/>
      <sz val="10"/>
      <color rgb="FF5B6573"/>
      <name val="Arial"/>
      <family val="2"/>
    </font>
    <font>
      <i/>
      <sz val="9"/>
      <color rgb="FF5B6573"/>
      <name val="Arial"/>
      <family val="2"/>
    </font>
    <font>
      <b/>
      <sz val="12"/>
      <color rgb="FF7A4E00"/>
      <name val="Arial"/>
      <family val="2"/>
    </font>
    <font>
      <b/>
      <sz val="9"/>
      <color rgb="FF9C6500"/>
      <name val="Arial"/>
      <family val="2"/>
    </font>
    <font>
      <b/>
      <sz val="9"/>
      <color rgb="FF5B6573"/>
      <name val="Arial"/>
      <family val="2"/>
    </font>
    <font>
      <sz val="12"/>
      <color theme="1"/>
      <name val="Arial"/>
      <family val="2"/>
    </font>
    <font>
      <b/>
      <sz val="14"/>
      <color rgb="FF1D2330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b/>
      <sz val="9"/>
      <color rgb="FF111827"/>
      <name val="Arial"/>
      <family val="2"/>
    </font>
    <font>
      <sz val="9"/>
      <color rgb="FF111827"/>
      <name val="Arial"/>
      <family val="2"/>
    </font>
    <font>
      <sz val="9"/>
      <color rgb="FF1F2937"/>
      <name val="Arial"/>
      <family val="2"/>
    </font>
    <font>
      <b/>
      <sz val="13"/>
      <color rgb="FF1D2330"/>
      <name val="Arial"/>
      <family val="2"/>
    </font>
    <font>
      <b/>
      <sz val="11"/>
      <color rgb="FF1D2330"/>
      <name val="Arial"/>
      <family val="2"/>
    </font>
    <font>
      <b/>
      <sz val="8.5"/>
      <color rgb="FF9C6500"/>
      <name val="Arial"/>
      <family val="2"/>
    </font>
    <font>
      <b/>
      <sz val="11"/>
      <color rgb="FF008000"/>
      <name val="Arial"/>
      <family val="2"/>
    </font>
    <font>
      <b/>
      <sz val="9"/>
      <color rgb="FF1F2937"/>
      <name val="Arial"/>
      <family val="2"/>
    </font>
    <font>
      <sz val="8.5"/>
      <color rgb="FF334155"/>
      <name val="Arial"/>
      <family val="2"/>
    </font>
    <font>
      <sz val="8.5"/>
      <color rgb="FF5B6573"/>
      <name val="Arial"/>
      <family val="2"/>
    </font>
    <font>
      <b/>
      <sz val="9"/>
      <color rgb="FF008000"/>
      <name val="Arial"/>
      <family val="2"/>
    </font>
    <font>
      <b/>
      <sz val="9"/>
      <color rgb="FFC00000"/>
      <name val="Arial"/>
      <family val="2"/>
    </font>
    <font>
      <b/>
      <sz val="11"/>
      <color rgb="FF9C6500"/>
      <name val="Arial"/>
      <family val="2"/>
    </font>
    <font>
      <b/>
      <sz val="11"/>
      <color rgb="FFC00000"/>
      <name val="Arial"/>
      <family val="2"/>
    </font>
    <font>
      <b/>
      <sz val="8.5"/>
      <color rgb="FFC00000"/>
      <name val="Arial"/>
      <family val="2"/>
    </font>
    <font>
      <b/>
      <i/>
      <sz val="9"/>
      <color rgb="FF666666"/>
      <name val="Arial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i/>
      <sz val="9"/>
      <color rgb="FF555555"/>
      <name val="Calibri"/>
      <family val="2"/>
    </font>
    <font>
      <sz val="8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000000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8E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3F5F8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2F2F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AAB4C3"/>
      </top>
      <bottom style="thin">
        <color rgb="FFAAB4C3"/>
      </bottom>
      <diagonal/>
    </border>
    <border>
      <left/>
      <right/>
      <top/>
      <bottom style="thin">
        <color rgb="FFAAB4C3"/>
      </bottom>
      <diagonal/>
    </border>
    <border>
      <left style="thin">
        <color rgb="FFAAB4C3"/>
      </left>
      <right/>
      <top style="thin">
        <color rgb="FFAAB4C3"/>
      </top>
      <bottom style="thin">
        <color rgb="FFAAB4C3"/>
      </bottom>
      <diagonal/>
    </border>
    <border>
      <left/>
      <right style="thin">
        <color rgb="FFAAB4C3"/>
      </right>
      <top style="thin">
        <color rgb="FFAAB4C3"/>
      </top>
      <bottom/>
      <diagonal/>
    </border>
    <border>
      <left/>
      <right style="thin">
        <color rgb="FFAAB4C3"/>
      </right>
      <top/>
      <bottom style="thin">
        <color rgb="FFAAB4C3"/>
      </bottom>
      <diagonal/>
    </border>
    <border>
      <left style="thin">
        <color rgb="FFAAB4C3"/>
      </left>
      <right/>
      <top/>
      <bottom/>
      <diagonal/>
    </border>
    <border>
      <left/>
      <right style="thin">
        <color rgb="FFAAB4C3"/>
      </right>
      <top style="thin">
        <color rgb="FFAAB4C3"/>
      </top>
      <bottom style="thin">
        <color rgb="FFAAB4C3"/>
      </bottom>
      <diagonal/>
    </border>
    <border>
      <left/>
      <right/>
      <top style="thin">
        <color rgb="FFB8C0CC"/>
      </top>
      <bottom/>
      <diagonal/>
    </border>
    <border>
      <left/>
      <right/>
      <top/>
      <bottom style="thin">
        <color rgb="FFB8C0CC"/>
      </bottom>
      <diagonal/>
    </border>
    <border>
      <left style="thin">
        <color rgb="FFB8C0CC"/>
      </left>
      <right/>
      <top style="thin">
        <color rgb="FFB8C0CC"/>
      </top>
      <bottom/>
      <diagonal/>
    </border>
    <border>
      <left style="thin">
        <color rgb="FFB8C0CC"/>
      </left>
      <right/>
      <top/>
      <bottom style="thin">
        <color rgb="FFB8C0CC"/>
      </bottom>
      <diagonal/>
    </border>
    <border>
      <left/>
      <right style="thin">
        <color rgb="FFB8C0CC"/>
      </right>
      <top style="thin">
        <color rgb="FFB8C0CC"/>
      </top>
      <bottom/>
      <diagonal/>
    </border>
    <border>
      <left/>
      <right style="thin">
        <color rgb="FFB8C0CC"/>
      </right>
      <top/>
      <bottom style="thin">
        <color rgb="FFB8C0CC"/>
      </bottom>
      <diagonal/>
    </border>
    <border>
      <left style="thin">
        <color rgb="FFB8C0CC"/>
      </left>
      <right/>
      <top style="thin">
        <color rgb="FFB8C0CC"/>
      </top>
      <bottom style="thin">
        <color rgb="FFB8C0CC"/>
      </bottom>
      <diagonal/>
    </border>
    <border>
      <left/>
      <right/>
      <top style="thin">
        <color rgb="FFB8C0CC"/>
      </top>
      <bottom style="thin">
        <color rgb="FFB8C0CC"/>
      </bottom>
      <diagonal/>
    </border>
    <border>
      <left style="thin">
        <color rgb="FFB8C0CC"/>
      </left>
      <right/>
      <top style="hair">
        <color rgb="FFD9DEE7"/>
      </top>
      <bottom style="hair">
        <color rgb="FFD9DEE7"/>
      </bottom>
      <diagonal/>
    </border>
    <border>
      <left/>
      <right/>
      <top style="hair">
        <color rgb="FFD9DEE7"/>
      </top>
      <bottom style="hair">
        <color rgb="FFD9DEE7"/>
      </bottom>
      <diagonal/>
    </border>
    <border>
      <left/>
      <right style="thin">
        <color rgb="FFB8C0CC"/>
      </right>
      <top style="hair">
        <color rgb="FFD9DEE7"/>
      </top>
      <bottom style="hair">
        <color rgb="FFD9DEE7"/>
      </bottom>
      <diagonal/>
    </border>
    <border>
      <left style="thin">
        <color rgb="FFB8C0CC"/>
      </left>
      <right/>
      <top style="hair">
        <color rgb="FFD9DEE7"/>
      </top>
      <bottom/>
      <diagonal/>
    </border>
    <border>
      <left/>
      <right/>
      <top style="hair">
        <color rgb="FFD9DEE7"/>
      </top>
      <bottom/>
      <diagonal/>
    </border>
    <border>
      <left/>
      <right style="thin">
        <color rgb="FFB8C0CC"/>
      </right>
      <top style="hair">
        <color rgb="FFD9DEE7"/>
      </top>
      <bottom/>
      <diagonal/>
    </border>
    <border>
      <left/>
      <right style="thin">
        <color rgb="FFB8C0CC"/>
      </right>
      <top style="thin">
        <color rgb="FFB8C0CC"/>
      </top>
      <bottom style="thin">
        <color rgb="FFB8C0CC"/>
      </bottom>
      <diagonal/>
    </border>
    <border>
      <left/>
      <right/>
      <top style="thick">
        <color rgb="FF1D2330"/>
      </top>
      <bottom style="thin">
        <color rgb="FF808080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4" fillId="4" borderId="0" xfId="0" applyFont="1" applyFill="1"/>
    <xf numFmtId="0" fontId="6" fillId="4" borderId="1" xfId="0" applyFont="1" applyFill="1" applyBorder="1" applyAlignment="1">
      <alignment wrapText="1"/>
    </xf>
    <xf numFmtId="164" fontId="3" fillId="0" borderId="0" xfId="0" applyNumberFormat="1" applyFont="1"/>
    <xf numFmtId="165" fontId="3" fillId="0" borderId="0" xfId="0" applyNumberFormat="1" applyFont="1"/>
    <xf numFmtId="0" fontId="8" fillId="3" borderId="0" xfId="0" applyFont="1" applyFill="1" applyAlignment="1">
      <alignment horizontal="center" vertical="center"/>
    </xf>
    <xf numFmtId="0" fontId="9" fillId="3" borderId="0" xfId="0" applyFont="1" applyFill="1"/>
    <xf numFmtId="0" fontId="10" fillId="0" borderId="0" xfId="0" applyFont="1"/>
    <xf numFmtId="166" fontId="3" fillId="0" borderId="0" xfId="0" applyNumberFormat="1" applyFont="1"/>
    <xf numFmtId="167" fontId="3" fillId="0" borderId="0" xfId="0" applyNumberFormat="1" applyFont="1"/>
    <xf numFmtId="167" fontId="5" fillId="2" borderId="0" xfId="0" applyNumberFormat="1" applyFont="1" applyFill="1"/>
    <xf numFmtId="3" fontId="3" fillId="0" borderId="0" xfId="0" applyNumberFormat="1" applyFont="1"/>
    <xf numFmtId="3" fontId="5" fillId="2" borderId="0" xfId="0" applyNumberFormat="1" applyFont="1" applyFill="1"/>
    <xf numFmtId="0" fontId="3" fillId="0" borderId="0" xfId="0" applyFont="1" applyAlignment="1">
      <alignment wrapText="1"/>
    </xf>
    <xf numFmtId="0" fontId="12" fillId="3" borderId="0" xfId="0" applyFont="1" applyFill="1"/>
    <xf numFmtId="14" fontId="12" fillId="3" borderId="0" xfId="0" applyNumberFormat="1" applyFont="1" applyFill="1"/>
    <xf numFmtId="0" fontId="13" fillId="7" borderId="0" xfId="0" applyFont="1" applyFill="1"/>
    <xf numFmtId="0" fontId="14" fillId="8" borderId="0" xfId="0" applyFont="1" applyFill="1"/>
    <xf numFmtId="0" fontId="15" fillId="9" borderId="0" xfId="0" applyFont="1" applyFill="1"/>
    <xf numFmtId="0" fontId="16" fillId="10" borderId="0" xfId="0" applyFont="1" applyFill="1"/>
    <xf numFmtId="0" fontId="0" fillId="0" borderId="0" xfId="0" applyAlignment="1">
      <alignment wrapText="1"/>
    </xf>
    <xf numFmtId="0" fontId="4" fillId="4" borderId="0" xfId="0" applyFont="1" applyFill="1" applyAlignment="1">
      <alignment wrapText="1"/>
    </xf>
    <xf numFmtId="0" fontId="6" fillId="4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3" fillId="6" borderId="4" xfId="0" applyFont="1" applyFill="1" applyBorder="1" applyAlignment="1">
      <alignment wrapText="1"/>
    </xf>
    <xf numFmtId="0" fontId="11" fillId="6" borderId="2" xfId="0" applyFont="1" applyFill="1" applyBorder="1" applyAlignment="1">
      <alignment wrapText="1"/>
    </xf>
    <xf numFmtId="0" fontId="11" fillId="6" borderId="8" xfId="0" applyFont="1" applyFill="1" applyBorder="1" applyAlignment="1">
      <alignment wrapText="1"/>
    </xf>
    <xf numFmtId="0" fontId="8" fillId="3" borderId="0" xfId="0" applyFont="1" applyFill="1" applyAlignment="1">
      <alignment horizontal="center" vertical="center" wrapText="1"/>
    </xf>
    <xf numFmtId="167" fontId="6" fillId="4" borderId="1" xfId="0" applyNumberFormat="1" applyFont="1" applyFill="1" applyBorder="1" applyAlignment="1">
      <alignment horizontal="center" wrapText="1"/>
    </xf>
    <xf numFmtId="0" fontId="7" fillId="5" borderId="0" xfId="0" applyFont="1" applyFill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0" fillId="0" borderId="0" xfId="0" applyNumberFormat="1"/>
    <xf numFmtId="22" fontId="0" fillId="0" borderId="0" xfId="0" applyNumberFormat="1"/>
    <xf numFmtId="2" fontId="3" fillId="0" borderId="0" xfId="0" applyNumberFormat="1" applyFont="1"/>
    <xf numFmtId="168" fontId="10" fillId="0" borderId="0" xfId="0" applyNumberFormat="1" applyFont="1"/>
    <xf numFmtId="1" fontId="10" fillId="0" borderId="0" xfId="0" applyNumberFormat="1" applyFont="1"/>
    <xf numFmtId="2" fontId="10" fillId="0" borderId="0" xfId="0" applyNumberFormat="1" applyFont="1"/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0" fontId="3" fillId="0" borderId="0" xfId="0" applyNumberFormat="1" applyFont="1" applyAlignment="1">
      <alignment horizontal="center" wrapText="1"/>
    </xf>
    <xf numFmtId="1" fontId="3" fillId="0" borderId="0" xfId="0" applyNumberFormat="1" applyFont="1"/>
    <xf numFmtId="1" fontId="5" fillId="2" borderId="0" xfId="0" applyNumberFormat="1" applyFont="1" applyFill="1"/>
    <xf numFmtId="1" fontId="6" fillId="4" borderId="1" xfId="0" applyNumberFormat="1" applyFont="1" applyFill="1" applyBorder="1" applyAlignment="1">
      <alignment horizontal="center" wrapText="1"/>
    </xf>
    <xf numFmtId="2" fontId="5" fillId="2" borderId="0" xfId="0" applyNumberFormat="1" applyFont="1" applyFill="1"/>
    <xf numFmtId="2" fontId="6" fillId="4" borderId="1" xfId="0" applyNumberFormat="1" applyFont="1" applyFill="1" applyBorder="1" applyAlignment="1">
      <alignment horizontal="center" wrapText="1"/>
    </xf>
    <xf numFmtId="167" fontId="4" fillId="4" borderId="0" xfId="0" applyNumberFormat="1" applyFont="1" applyFill="1" applyAlignment="1">
      <alignment wrapText="1"/>
    </xf>
    <xf numFmtId="3" fontId="4" fillId="4" borderId="0" xfId="0" applyNumberFormat="1" applyFont="1" applyFill="1" applyAlignment="1">
      <alignment wrapText="1"/>
    </xf>
    <xf numFmtId="172" fontId="17" fillId="6" borderId="0" xfId="0" applyNumberFormat="1" applyFont="1" applyFill="1" applyAlignment="1">
      <alignment horizontal="right"/>
    </xf>
    <xf numFmtId="172" fontId="17" fillId="6" borderId="1" xfId="0" applyNumberFormat="1" applyFont="1" applyFill="1" applyBorder="1" applyAlignment="1">
      <alignment horizontal="right" wrapText="1"/>
    </xf>
    <xf numFmtId="173" fontId="17" fillId="6" borderId="0" xfId="0" applyNumberFormat="1" applyFont="1" applyFill="1" applyAlignment="1">
      <alignment horizontal="right"/>
    </xf>
    <xf numFmtId="175" fontId="17" fillId="6" borderId="0" xfId="0" applyNumberFormat="1" applyFont="1" applyFill="1" applyAlignment="1">
      <alignment horizontal="left"/>
    </xf>
    <xf numFmtId="174" fontId="18" fillId="10" borderId="0" xfId="0" applyNumberFormat="1" applyFont="1" applyFill="1" applyAlignment="1">
      <alignment horizontal="right"/>
    </xf>
    <xf numFmtId="177" fontId="19" fillId="6" borderId="0" xfId="0" applyNumberFormat="1" applyFont="1" applyFill="1" applyAlignment="1">
      <alignment horizontal="right"/>
    </xf>
    <xf numFmtId="0" fontId="20" fillId="2" borderId="0" xfId="0" applyFont="1" applyFill="1"/>
    <xf numFmtId="0" fontId="21" fillId="2" borderId="0" xfId="0" applyFont="1" applyFill="1"/>
    <xf numFmtId="0" fontId="23" fillId="13" borderId="0" xfId="0" applyFont="1" applyFill="1"/>
    <xf numFmtId="0" fontId="24" fillId="5" borderId="3" xfId="0" applyFont="1" applyFill="1" applyBorder="1" applyAlignment="1">
      <alignment vertical="center" wrapText="1"/>
    </xf>
    <xf numFmtId="0" fontId="25" fillId="5" borderId="0" xfId="0" applyFont="1" applyFill="1" applyBorder="1" applyAlignment="1">
      <alignment vertical="center" wrapText="1"/>
    </xf>
    <xf numFmtId="0" fontId="26" fillId="13" borderId="11" xfId="0" applyFont="1" applyFill="1" applyBorder="1" applyAlignment="1">
      <alignment vertical="center"/>
    </xf>
    <xf numFmtId="0" fontId="26" fillId="13" borderId="9" xfId="0" applyFont="1" applyFill="1" applyBorder="1" applyAlignment="1">
      <alignment vertical="center"/>
    </xf>
    <xf numFmtId="0" fontId="26" fillId="13" borderId="13" xfId="0" applyFont="1" applyFill="1" applyBorder="1" applyAlignment="1">
      <alignment vertical="center"/>
    </xf>
    <xf numFmtId="167" fontId="28" fillId="6" borderId="12" xfId="0" applyNumberFormat="1" applyFont="1" applyFill="1" applyBorder="1" applyAlignment="1">
      <alignment horizontal="center" vertical="center"/>
    </xf>
    <xf numFmtId="0" fontId="28" fillId="6" borderId="10" xfId="0" applyFont="1" applyFill="1" applyBorder="1" applyAlignment="1">
      <alignment horizontal="center" vertical="center"/>
    </xf>
    <xf numFmtId="1" fontId="28" fillId="6" borderId="12" xfId="0" applyNumberFormat="1" applyFont="1" applyFill="1" applyBorder="1" applyAlignment="1">
      <alignment horizontal="center" vertical="center"/>
    </xf>
    <xf numFmtId="0" fontId="28" fillId="6" borderId="14" xfId="0" applyFont="1" applyFill="1" applyBorder="1" applyAlignment="1">
      <alignment horizontal="center" vertical="center"/>
    </xf>
    <xf numFmtId="178" fontId="28" fillId="6" borderId="12" xfId="0" applyNumberFormat="1" applyFont="1" applyFill="1" applyBorder="1" applyAlignment="1">
      <alignment horizontal="center" vertical="center"/>
    </xf>
    <xf numFmtId="0" fontId="29" fillId="2" borderId="0" xfId="0" applyFont="1" applyFill="1" applyAlignment="1">
      <alignment vertical="center"/>
    </xf>
    <xf numFmtId="0" fontId="27" fillId="0" borderId="0" xfId="0" applyFont="1"/>
    <xf numFmtId="0" fontId="31" fillId="0" borderId="0" xfId="0" applyFont="1"/>
    <xf numFmtId="0" fontId="32" fillId="0" borderId="0" xfId="0" applyFont="1"/>
    <xf numFmtId="164" fontId="32" fillId="0" borderId="0" xfId="0" applyNumberFormat="1" applyFont="1" applyAlignment="1">
      <alignment horizontal="right"/>
    </xf>
    <xf numFmtId="2" fontId="32" fillId="0" borderId="0" xfId="0" applyNumberFormat="1" applyFont="1" applyAlignment="1">
      <alignment horizontal="right"/>
    </xf>
    <xf numFmtId="166" fontId="32" fillId="0" borderId="0" xfId="0" applyNumberFormat="1" applyFont="1" applyAlignment="1">
      <alignment horizontal="center"/>
    </xf>
    <xf numFmtId="0" fontId="33" fillId="6" borderId="11" xfId="0" applyFont="1" applyFill="1" applyBorder="1" applyAlignment="1">
      <alignment wrapText="1"/>
    </xf>
    <xf numFmtId="0" fontId="33" fillId="6" borderId="9" xfId="0" applyFont="1" applyFill="1" applyBorder="1" applyAlignment="1">
      <alignment wrapText="1"/>
    </xf>
    <xf numFmtId="0" fontId="33" fillId="6" borderId="12" xfId="0" applyFont="1" applyFill="1" applyBorder="1"/>
    <xf numFmtId="0" fontId="33" fillId="6" borderId="10" xfId="0" applyFont="1" applyFill="1" applyBorder="1"/>
    <xf numFmtId="0" fontId="33" fillId="6" borderId="17" xfId="0" applyFont="1" applyFill="1" applyBorder="1"/>
    <xf numFmtId="0" fontId="33" fillId="6" borderId="18" xfId="0" applyFont="1" applyFill="1" applyBorder="1"/>
    <xf numFmtId="0" fontId="33" fillId="6" borderId="20" xfId="0" applyFont="1" applyFill="1" applyBorder="1"/>
    <xf numFmtId="0" fontId="33" fillId="6" borderId="21" xfId="0" applyFont="1" applyFill="1" applyBorder="1"/>
    <xf numFmtId="0" fontId="36" fillId="5" borderId="0" xfId="0" applyFont="1" applyFill="1" applyAlignment="1">
      <alignment vertical="center" wrapText="1"/>
    </xf>
    <xf numFmtId="0" fontId="38" fillId="14" borderId="16" xfId="0" applyFont="1" applyFill="1" applyBorder="1" applyAlignment="1">
      <alignment horizontal="left" wrapText="1"/>
    </xf>
    <xf numFmtId="0" fontId="38" fillId="14" borderId="15" xfId="0" applyFont="1" applyFill="1" applyBorder="1" applyAlignment="1">
      <alignment horizontal="left" wrapText="1"/>
    </xf>
    <xf numFmtId="0" fontId="38" fillId="14" borderId="23" xfId="0" applyFont="1" applyFill="1" applyBorder="1" applyAlignment="1">
      <alignment horizontal="left" wrapText="1"/>
    </xf>
    <xf numFmtId="0" fontId="39" fillId="6" borderId="18" xfId="0" applyFont="1" applyFill="1" applyBorder="1" applyAlignment="1">
      <alignment vertical="center"/>
    </xf>
    <xf numFmtId="179" fontId="39" fillId="6" borderId="18" xfId="0" applyNumberFormat="1" applyFont="1" applyFill="1" applyBorder="1" applyAlignment="1">
      <alignment horizontal="right" vertical="center"/>
    </xf>
    <xf numFmtId="0" fontId="40" fillId="6" borderId="18" xfId="0" applyFont="1" applyFill="1" applyBorder="1" applyAlignment="1">
      <alignment vertical="center" wrapText="1"/>
    </xf>
    <xf numFmtId="0" fontId="39" fillId="6" borderId="21" xfId="0" applyFont="1" applyFill="1" applyBorder="1" applyAlignment="1">
      <alignment vertical="center"/>
    </xf>
    <xf numFmtId="179" fontId="39" fillId="6" borderId="21" xfId="0" applyNumberFormat="1" applyFont="1" applyFill="1" applyBorder="1" applyAlignment="1">
      <alignment horizontal="right" vertical="center"/>
    </xf>
    <xf numFmtId="0" fontId="40" fillId="6" borderId="21" xfId="0" applyFont="1" applyFill="1" applyBorder="1" applyAlignment="1">
      <alignment vertical="center" wrapText="1"/>
    </xf>
    <xf numFmtId="0" fontId="38" fillId="14" borderId="0" xfId="0" applyFont="1" applyFill="1" applyAlignment="1">
      <alignment horizontal="left"/>
    </xf>
    <xf numFmtId="0" fontId="22" fillId="3" borderId="0" xfId="0" applyFont="1" applyFill="1"/>
    <xf numFmtId="0" fontId="27" fillId="6" borderId="5" xfId="0" applyFont="1" applyFill="1" applyBorder="1"/>
    <xf numFmtId="0" fontId="27" fillId="6" borderId="6" xfId="0" applyFont="1" applyFill="1" applyBorder="1"/>
    <xf numFmtId="0" fontId="27" fillId="0" borderId="0" xfId="0" applyFont="1" applyAlignment="1">
      <alignment wrapText="1"/>
    </xf>
    <xf numFmtId="0" fontId="34" fillId="0" borderId="0" xfId="0" applyFont="1"/>
    <xf numFmtId="0" fontId="30" fillId="4" borderId="0" xfId="0" applyFont="1" applyFill="1"/>
    <xf numFmtId="165" fontId="41" fillId="7" borderId="0" xfId="0" applyNumberFormat="1" applyFont="1" applyFill="1" applyAlignment="1">
      <alignment horizontal="right"/>
    </xf>
    <xf numFmtId="165" fontId="42" fillId="11" borderId="0" xfId="0" applyNumberFormat="1" applyFont="1" applyFill="1" applyAlignment="1">
      <alignment horizontal="right"/>
    </xf>
    <xf numFmtId="0" fontId="41" fillId="7" borderId="0" xfId="0" applyFont="1" applyFill="1"/>
    <xf numFmtId="174" fontId="46" fillId="12" borderId="0" xfId="0" applyNumberFormat="1" applyFont="1" applyFill="1" applyAlignment="1">
      <alignment horizontal="right"/>
    </xf>
    <xf numFmtId="175" fontId="46" fillId="12" borderId="0" xfId="0" applyNumberFormat="1" applyFont="1" applyFill="1" applyAlignment="1">
      <alignment horizontal="left"/>
    </xf>
    <xf numFmtId="1" fontId="43" fillId="9" borderId="22" xfId="0" applyNumberFormat="1" applyFont="1" applyFill="1" applyBorder="1" applyAlignment="1">
      <alignment horizontal="right"/>
    </xf>
    <xf numFmtId="1" fontId="35" fillId="13" borderId="22" xfId="0" applyNumberFormat="1" applyFont="1" applyFill="1" applyBorder="1" applyAlignment="1">
      <alignment horizontal="right"/>
    </xf>
    <xf numFmtId="1" fontId="44" fillId="10" borderId="19" xfId="0" applyNumberFormat="1" applyFont="1" applyFill="1" applyBorder="1" applyAlignment="1">
      <alignment horizontal="right"/>
    </xf>
    <xf numFmtId="1" fontId="43" fillId="9" borderId="14" xfId="0" applyNumberFormat="1" applyFont="1" applyFill="1" applyBorder="1" applyAlignment="1">
      <alignment horizontal="right"/>
    </xf>
    <xf numFmtId="0" fontId="39" fillId="6" borderId="0" xfId="0" applyFont="1" applyFill="1" applyBorder="1" applyAlignment="1">
      <alignment vertical="center"/>
    </xf>
    <xf numFmtId="179" fontId="39" fillId="6" borderId="0" xfId="0" applyNumberFormat="1" applyFont="1" applyFill="1" applyBorder="1" applyAlignment="1">
      <alignment horizontal="right" vertical="center"/>
    </xf>
    <xf numFmtId="0" fontId="40" fillId="6" borderId="0" xfId="0" applyFont="1" applyFill="1" applyBorder="1" applyAlignment="1">
      <alignment vertical="center" wrapText="1"/>
    </xf>
    <xf numFmtId="0" fontId="45" fillId="10" borderId="0" xfId="0" applyFont="1" applyFill="1" applyBorder="1" applyAlignment="1">
      <alignment vertical="center"/>
    </xf>
    <xf numFmtId="0" fontId="36" fillId="9" borderId="21" xfId="0" applyFont="1" applyFill="1" applyBorder="1" applyAlignment="1">
      <alignment vertical="center"/>
    </xf>
    <xf numFmtId="176" fontId="46" fillId="12" borderId="0" xfId="0" applyNumberFormat="1" applyFont="1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49" fillId="4" borderId="24" xfId="0" applyNumberFormat="1" applyFont="1" applyFill="1" applyBorder="1" applyAlignment="1">
      <alignment horizontal="left"/>
    </xf>
    <xf numFmtId="0" fontId="47" fillId="2" borderId="0" xfId="0" applyNumberFormat="1" applyFont="1" applyFill="1" applyBorder="1" applyAlignment="1">
      <alignment horizontal="left"/>
    </xf>
    <xf numFmtId="0" fontId="50" fillId="15" borderId="25" xfId="0" applyNumberFormat="1" applyFont="1" applyFill="1" applyBorder="1" applyAlignment="1">
      <alignment horizontal="left" wrapText="1"/>
    </xf>
    <xf numFmtId="170" fontId="48" fillId="6" borderId="0" xfId="0" applyNumberFormat="1" applyFont="1" applyFill="1" applyAlignment="1">
      <alignment horizontal="right" wrapText="1"/>
    </xf>
    <xf numFmtId="170" fontId="48" fillId="6" borderId="0" xfId="0" applyNumberFormat="1" applyFont="1" applyFill="1" applyAlignment="1">
      <alignment horizontal="right"/>
    </xf>
    <xf numFmtId="167" fontId="27" fillId="0" borderId="0" xfId="0" applyNumberFormat="1" applyFont="1"/>
    <xf numFmtId="179" fontId="27" fillId="0" borderId="0" xfId="0" applyNumberFormat="1" applyFont="1"/>
    <xf numFmtId="179" fontId="29" fillId="2" borderId="0" xfId="0" applyNumberFormat="1" applyFont="1" applyFill="1" applyAlignment="1">
      <alignment vertical="center"/>
    </xf>
    <xf numFmtId="181" fontId="54" fillId="6" borderId="0" xfId="0" applyNumberFormat="1" applyFont="1" applyFill="1" applyAlignment="1">
      <alignment horizontal="right"/>
    </xf>
    <xf numFmtId="178" fontId="37" fillId="7" borderId="13" xfId="0" applyNumberFormat="1" applyFont="1" applyFill="1" applyBorder="1" applyAlignment="1">
      <alignment horizontal="right" wrapText="1"/>
    </xf>
    <xf numFmtId="182" fontId="37" fillId="7" borderId="22" xfId="0" applyNumberFormat="1" applyFont="1" applyFill="1" applyBorder="1" applyAlignment="1">
      <alignment horizontal="right"/>
    </xf>
    <xf numFmtId="182" fontId="43" fillId="9" borderId="22" xfId="0" applyNumberFormat="1" applyFont="1" applyFill="1" applyBorder="1" applyAlignment="1">
      <alignment horizontal="right"/>
    </xf>
  </cellXfs>
  <cellStyles count="1">
    <cellStyle name="Normal" xfId="0" builtinId="0"/>
  </cellStyles>
  <dxfs count="229">
    <dxf>
      <numFmt numFmtId="0" formatCode="General"/>
    </dxf>
    <dxf>
      <numFmt numFmtId="0" formatCode="General"/>
    </dxf>
    <dxf>
      <font>
        <b val="0"/>
        <i val="0"/>
        <strike val="0"/>
        <u val="none"/>
        <sz val="12"/>
        <color rgb="FF000000"/>
        <name val="Aptos Narrow"/>
      </font>
      <numFmt numFmtId="181" formatCode="m/d\ h:mm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8B0000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8B0000"/>
        </patternFill>
      </fill>
    </dxf>
    <dxf>
      <font>
        <b val="0"/>
        <i val="0"/>
        <color rgb="FF548235"/>
      </font>
      <fill>
        <patternFill patternType="solid">
          <fgColor indexed="64"/>
          <bgColor rgb="FFE2F0D9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8B0000"/>
        </patternFill>
      </fill>
    </dxf>
    <dxf>
      <font>
        <b/>
        <i val="0"/>
        <color rgb="FF7A4E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7F0000"/>
        </patternFill>
      </fill>
    </dxf>
    <dxf>
      <font>
        <b/>
        <i val="0"/>
        <color rgb="FF667085"/>
      </font>
      <fill>
        <patternFill patternType="solid">
          <fgColor indexed="64"/>
          <bgColor rgb="FFE2F0D9"/>
        </patternFill>
      </fill>
    </dxf>
    <dxf>
      <font>
        <b/>
        <i val="0"/>
        <color rgb="FF7A4E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7F0000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8B0000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EAF2F8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2F5597"/>
      </font>
      <fill>
        <patternFill patternType="solid">
          <fgColor indexed="64"/>
          <bgColor rgb="FFE9EFF7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 val="0"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CE8E6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color rgb="FF9C0006"/>
      </font>
      <fill>
        <patternFill patternType="solid">
          <fgColor indexed="64"/>
          <bgColor rgb="FFFCE8E6"/>
        </patternFill>
      </fill>
    </dxf>
    <dxf>
      <font>
        <b val="0"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4D6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color rgb="FF666666"/>
      </font>
      <fill>
        <patternFill patternType="solid">
          <fgColor indexed="64"/>
          <bgColor rgb="FFE7E6E6"/>
        </patternFill>
      </fill>
    </dxf>
    <dxf>
      <font>
        <b val="0"/>
        <i val="0"/>
        <color rgb="FF9C0006"/>
      </font>
      <fill>
        <patternFill patternType="solid">
          <fgColor indexed="64"/>
          <bgColor rgb="FFFCE8E6"/>
        </patternFill>
      </fill>
    </dxf>
    <dxf>
      <font>
        <b val="0"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 val="0"/>
        <i val="0"/>
        <color rgb="FF666666"/>
      </font>
      <fill>
        <patternFill patternType="solid">
          <fgColor indexed="64"/>
          <bgColor rgb="FFE7E6E6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color rgb="FF9C0006"/>
      </font>
      <fill>
        <patternFill patternType="solid">
          <fgColor indexed="64"/>
          <bgColor rgb="FFFCE8E6"/>
        </patternFill>
      </fill>
    </dxf>
    <dxf>
      <font>
        <b val="0"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</dxf>
    <dxf>
      <font>
        <b/>
        <i val="0"/>
        <color rgb="FF008000"/>
      </font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666666"/>
      </font>
      <fill>
        <patternFill patternType="solid">
          <fgColor indexed="64"/>
          <bgColor rgb="FFE7E6E6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8E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8B0000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1F4E78"/>
      </font>
      <fill>
        <patternFill patternType="solid">
          <fgColor indexed="64"/>
          <bgColor rgb="FFEAF2F8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65911"/>
      </font>
      <fill>
        <patternFill patternType="solid">
          <fgColor indexed="64"/>
          <bgColor rgb="FFFCE5CD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9C0006"/>
      </font>
      <fill>
        <patternFill patternType="solid">
          <fgColor indexed="64"/>
          <bgColor rgb="FFFCE8E6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4CCCC"/>
        </patternFill>
      </fill>
    </dxf>
    <dxf>
      <font>
        <b/>
        <i val="0"/>
        <color rgb="FFC65911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Calibri"/>
        <family val="2"/>
        <scheme val="none"/>
      </font>
      <numFmt numFmtId="173" formatCode="0.00\ &quot;bps&quot;;\(0.00\)\ &quot;bps&quot;;\-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Calibri"/>
        <family val="2"/>
        <scheme val="none"/>
      </font>
      <numFmt numFmtId="173" formatCode="0.00\ &quot;bps&quot;;\(0.00\)\ &quot;bps&quot;;\-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"/>
        <scheme val="none"/>
      </font>
      <fill>
        <patternFill patternType="solid">
          <fgColor indexed="64"/>
          <bgColor rgb="FFE2E3E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7" formatCode="yyyy\-mm\-dd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6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"/>
        <scheme val="none"/>
      </font>
      <fill>
        <patternFill patternType="solid">
          <fgColor indexed="64"/>
          <bgColor rgb="FFE2E3E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9" formatCode="0.0\ &quot;sec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5" formatCode="0.00\ &quot;bps&quot;;[Red]\(0.00\)\ &quot;bps&quot;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"/>
        <scheme val="none"/>
      </font>
      <fill>
        <patternFill patternType="solid">
          <fgColor indexed="64"/>
          <bgColor rgb="FFE2E3E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71" formatCode="0.0\ &quot;min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5" formatCode="0.00\ &quot;bps&quot;;[Red]\(0.00\)\ &quot;bps&quot;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"/>
        <scheme val="none"/>
      </font>
      <fill>
        <patternFill patternType="solid">
          <fgColor indexed="64"/>
          <bgColor rgb="FFE2E3E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9" formatCode="0.0\ &quot;sec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5" formatCode="0.00\ &quot;bps&quot;;[Red]\(0.00\)\ &quot;bps&quot;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64" formatCode="#,##0.00;[Red]\(#,##0.0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border outline="0">
        <bottom style="medium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Quality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Dashboard!$T$25</c:f>
              <c:strCache>
                <c:ptCount val="1"/>
                <c:pt idx="0">
                  <c:v>completeness_pct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tblQualityHistory!$A$2:$A$60</c:f>
              <c:numCache>
                <c:formatCode>m/d\ h:mm</c:formatCode>
                <c:ptCount val="59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</c:numCache>
            </c:numRef>
          </c:cat>
          <c:val>
            <c:numRef>
              <c:f>tblQualityHistory!$D$2:$D$60</c:f>
              <c:numCache>
                <c:formatCode>General</c:formatCode>
                <c:ptCount val="5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A5-D343-9524-5924DBE19CAB}"/>
            </c:ext>
          </c:extLst>
        </c:ser>
        <c:ser>
          <c:idx val="5"/>
          <c:order val="1"/>
          <c:tx>
            <c:strRef>
              <c:f>Dashboard!$U$25</c:f>
              <c:strCache>
                <c:ptCount val="1"/>
                <c:pt idx="0">
                  <c:v>timeliness_pct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tblQualityHistory!$A$2:$A$60</c:f>
              <c:numCache>
                <c:formatCode>m/d\ h:mm</c:formatCode>
                <c:ptCount val="59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</c:numCache>
            </c:numRef>
          </c:cat>
          <c:val>
            <c:numRef>
              <c:f>tblQualityHistory!$E$2:$E$60</c:f>
              <c:numCache>
                <c:formatCode>General</c:formatCode>
                <c:ptCount val="59"/>
                <c:pt idx="0">
                  <c:v>97.3</c:v>
                </c:pt>
                <c:pt idx="1">
                  <c:v>97.3</c:v>
                </c:pt>
                <c:pt idx="2">
                  <c:v>97.3</c:v>
                </c:pt>
                <c:pt idx="3">
                  <c:v>97.3</c:v>
                </c:pt>
                <c:pt idx="4">
                  <c:v>97.3</c:v>
                </c:pt>
                <c:pt idx="5">
                  <c:v>97.3</c:v>
                </c:pt>
                <c:pt idx="6">
                  <c:v>97.3</c:v>
                </c:pt>
                <c:pt idx="7">
                  <c:v>97.3</c:v>
                </c:pt>
                <c:pt idx="8">
                  <c:v>97.3</c:v>
                </c:pt>
                <c:pt idx="9">
                  <c:v>97.3</c:v>
                </c:pt>
                <c:pt idx="10">
                  <c:v>97.3</c:v>
                </c:pt>
                <c:pt idx="11">
                  <c:v>97.3</c:v>
                </c:pt>
                <c:pt idx="12">
                  <c:v>97.3</c:v>
                </c:pt>
                <c:pt idx="13">
                  <c:v>97.3</c:v>
                </c:pt>
                <c:pt idx="14">
                  <c:v>97.3</c:v>
                </c:pt>
                <c:pt idx="15">
                  <c:v>97.3</c:v>
                </c:pt>
                <c:pt idx="16">
                  <c:v>97.3</c:v>
                </c:pt>
                <c:pt idx="17">
                  <c:v>97.3</c:v>
                </c:pt>
                <c:pt idx="18">
                  <c:v>97.3</c:v>
                </c:pt>
                <c:pt idx="19">
                  <c:v>97.3</c:v>
                </c:pt>
                <c:pt idx="20">
                  <c:v>97.3</c:v>
                </c:pt>
                <c:pt idx="21">
                  <c:v>97.3</c:v>
                </c:pt>
                <c:pt idx="22">
                  <c:v>97.3</c:v>
                </c:pt>
                <c:pt idx="23">
                  <c:v>97.3</c:v>
                </c:pt>
                <c:pt idx="24">
                  <c:v>97.3</c:v>
                </c:pt>
                <c:pt idx="25">
                  <c:v>97.3</c:v>
                </c:pt>
                <c:pt idx="26">
                  <c:v>97.3</c:v>
                </c:pt>
                <c:pt idx="27">
                  <c:v>97.3</c:v>
                </c:pt>
                <c:pt idx="28">
                  <c:v>97.3</c:v>
                </c:pt>
                <c:pt idx="29">
                  <c:v>97.3</c:v>
                </c:pt>
                <c:pt idx="30">
                  <c:v>97.3</c:v>
                </c:pt>
                <c:pt idx="31">
                  <c:v>97.3</c:v>
                </c:pt>
                <c:pt idx="32">
                  <c:v>97.3</c:v>
                </c:pt>
                <c:pt idx="33">
                  <c:v>97.3</c:v>
                </c:pt>
                <c:pt idx="34">
                  <c:v>97.3</c:v>
                </c:pt>
                <c:pt idx="35">
                  <c:v>97.3</c:v>
                </c:pt>
                <c:pt idx="36">
                  <c:v>97.3</c:v>
                </c:pt>
                <c:pt idx="37">
                  <c:v>97.3</c:v>
                </c:pt>
                <c:pt idx="38">
                  <c:v>97.3</c:v>
                </c:pt>
                <c:pt idx="39">
                  <c:v>97.3</c:v>
                </c:pt>
                <c:pt idx="40">
                  <c:v>97.3</c:v>
                </c:pt>
                <c:pt idx="41">
                  <c:v>97.3</c:v>
                </c:pt>
                <c:pt idx="42">
                  <c:v>97.3</c:v>
                </c:pt>
                <c:pt idx="43">
                  <c:v>97.3</c:v>
                </c:pt>
                <c:pt idx="44">
                  <c:v>97.3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75</c:v>
                </c:pt>
                <c:pt idx="54">
                  <c:v>75</c:v>
                </c:pt>
                <c:pt idx="55">
                  <c:v>75</c:v>
                </c:pt>
                <c:pt idx="56">
                  <c:v>75</c:v>
                </c:pt>
                <c:pt idx="57">
                  <c:v>75</c:v>
                </c:pt>
                <c:pt idx="58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A5-D343-9524-5924DBE19CAB}"/>
            </c:ext>
          </c:extLst>
        </c:ser>
        <c:ser>
          <c:idx val="1"/>
          <c:order val="2"/>
          <c:tx>
            <c:strRef>
              <c:f>Dashboard!$V$25</c:f>
              <c:strCache>
                <c:ptCount val="1"/>
                <c:pt idx="0">
                  <c:v>validity_pct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tblQualityHistory!$A$2:$A$60</c:f>
              <c:numCache>
                <c:formatCode>m/d\ h:mm</c:formatCode>
                <c:ptCount val="59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</c:numCache>
            </c:numRef>
          </c:cat>
          <c:val>
            <c:numRef>
              <c:f>tblQualityHistory!$F$2:$F$60</c:f>
              <c:numCache>
                <c:formatCode>General</c:formatCode>
                <c:ptCount val="5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86.49</c:v>
                </c:pt>
                <c:pt idx="17">
                  <c:v>100</c:v>
                </c:pt>
                <c:pt idx="18">
                  <c:v>97.3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A5-D343-9524-5924DBE19CAB}"/>
            </c:ext>
          </c:extLst>
        </c:ser>
        <c:ser>
          <c:idx val="2"/>
          <c:order val="3"/>
          <c:tx>
            <c:strRef>
              <c:f>Dashboard!$W$25</c:f>
              <c:strCache>
                <c:ptCount val="1"/>
                <c:pt idx="0">
                  <c:v>consistency_pct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tblQualityHistory!$A$2:$A$60</c:f>
              <c:numCache>
                <c:formatCode>m/d\ h:mm</c:formatCode>
                <c:ptCount val="59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</c:numCache>
            </c:numRef>
          </c:cat>
          <c:val>
            <c:numRef>
              <c:f>tblQualityHistory!$G$2:$G$60</c:f>
              <c:numCache>
                <c:formatCode>General</c:formatCode>
                <c:ptCount val="59"/>
                <c:pt idx="0">
                  <c:v>76.47</c:v>
                </c:pt>
                <c:pt idx="1">
                  <c:v>70.59</c:v>
                </c:pt>
                <c:pt idx="2">
                  <c:v>82.35</c:v>
                </c:pt>
                <c:pt idx="3">
                  <c:v>82.35</c:v>
                </c:pt>
                <c:pt idx="4">
                  <c:v>82.35</c:v>
                </c:pt>
                <c:pt idx="5">
                  <c:v>82.35</c:v>
                </c:pt>
                <c:pt idx="6">
                  <c:v>76.47</c:v>
                </c:pt>
                <c:pt idx="7">
                  <c:v>82.35</c:v>
                </c:pt>
                <c:pt idx="8">
                  <c:v>82.35</c:v>
                </c:pt>
                <c:pt idx="9">
                  <c:v>76.47</c:v>
                </c:pt>
                <c:pt idx="10">
                  <c:v>88.24</c:v>
                </c:pt>
                <c:pt idx="11">
                  <c:v>94.12</c:v>
                </c:pt>
                <c:pt idx="12">
                  <c:v>82.35</c:v>
                </c:pt>
                <c:pt idx="13">
                  <c:v>88.24</c:v>
                </c:pt>
                <c:pt idx="14">
                  <c:v>76.47</c:v>
                </c:pt>
                <c:pt idx="15">
                  <c:v>82.35</c:v>
                </c:pt>
                <c:pt idx="16">
                  <c:v>82.35</c:v>
                </c:pt>
                <c:pt idx="17">
                  <c:v>70.59</c:v>
                </c:pt>
                <c:pt idx="18">
                  <c:v>70.59</c:v>
                </c:pt>
                <c:pt idx="19">
                  <c:v>70.59</c:v>
                </c:pt>
                <c:pt idx="20">
                  <c:v>82.35</c:v>
                </c:pt>
                <c:pt idx="21">
                  <c:v>76.47</c:v>
                </c:pt>
                <c:pt idx="22">
                  <c:v>76.47</c:v>
                </c:pt>
                <c:pt idx="23">
                  <c:v>88.24</c:v>
                </c:pt>
                <c:pt idx="24">
                  <c:v>88.24</c:v>
                </c:pt>
                <c:pt idx="25">
                  <c:v>64.709999999999994</c:v>
                </c:pt>
                <c:pt idx="26">
                  <c:v>82.35</c:v>
                </c:pt>
                <c:pt idx="27">
                  <c:v>88.24</c:v>
                </c:pt>
                <c:pt idx="28">
                  <c:v>76.47</c:v>
                </c:pt>
                <c:pt idx="29">
                  <c:v>76.47</c:v>
                </c:pt>
                <c:pt idx="30">
                  <c:v>82.35</c:v>
                </c:pt>
                <c:pt idx="31">
                  <c:v>82.35</c:v>
                </c:pt>
                <c:pt idx="32">
                  <c:v>70.59</c:v>
                </c:pt>
                <c:pt idx="33">
                  <c:v>76.47</c:v>
                </c:pt>
                <c:pt idx="34">
                  <c:v>76.47</c:v>
                </c:pt>
                <c:pt idx="35">
                  <c:v>82.35</c:v>
                </c:pt>
                <c:pt idx="36">
                  <c:v>76.47</c:v>
                </c:pt>
                <c:pt idx="37">
                  <c:v>82.35</c:v>
                </c:pt>
                <c:pt idx="38">
                  <c:v>82.35</c:v>
                </c:pt>
                <c:pt idx="39">
                  <c:v>76.47</c:v>
                </c:pt>
                <c:pt idx="40">
                  <c:v>82.35</c:v>
                </c:pt>
                <c:pt idx="41">
                  <c:v>76.47</c:v>
                </c:pt>
                <c:pt idx="42">
                  <c:v>88.24</c:v>
                </c:pt>
                <c:pt idx="43">
                  <c:v>76.47</c:v>
                </c:pt>
                <c:pt idx="44">
                  <c:v>76.47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A5-D343-9524-5924DBE19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270544"/>
        <c:axId val="1371114256"/>
      </c:lineChart>
      <c:catAx>
        <c:axId val="1374270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Refresh Time (UTC)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JP"/>
            </a:p>
          </c:txPr>
        </c:title>
        <c:numFmt formatCode="m/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JP"/>
          </a:p>
        </c:txPr>
        <c:crossAx val="1371114256"/>
        <c:crosses val="autoZero"/>
        <c:auto val="0"/>
        <c:lblAlgn val="ctr"/>
        <c:lblOffset val="100"/>
        <c:tickLblSkip val="8"/>
        <c:noMultiLvlLbl val="0"/>
      </c:catAx>
      <c:valAx>
        <c:axId val="1371114256"/>
        <c:scaling>
          <c:orientation val="minMax"/>
          <c:max val="105"/>
          <c:min val="70"/>
        </c:scaling>
        <c:delete val="0"/>
        <c:axPos val="l"/>
        <c:majorGridlines>
          <c:spPr>
            <a:ln w="9525" cap="flat" cmpd="sng" algn="ctr">
              <a:solidFill>
                <a:srgbClr val="D9DEE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JP"/>
            </a:p>
          </c:txPr>
        </c:title>
        <c:numFmt formatCode="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JP"/>
          </a:p>
        </c:txPr>
        <c:crossAx val="137427054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JP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Data Quality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v>overall_score</c:v>
          </c:tx>
          <c:spPr>
            <a:ln w="25400" cap="rnd">
              <a:solidFill>
                <a:srgbClr val="15608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tblQualityHistory!$A$2:$A$60</c:f>
              <c:numCache>
                <c:formatCode>m/d\ h:mm</c:formatCode>
                <c:ptCount val="59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</c:numCache>
            </c:numRef>
          </c:cat>
          <c:val>
            <c:numRef>
              <c:f>tblQualityHistory!$B$2:$B$60</c:f>
              <c:numCache>
                <c:formatCode>General</c:formatCode>
                <c:ptCount val="59"/>
                <c:pt idx="0">
                  <c:v>94.62</c:v>
                </c:pt>
                <c:pt idx="1">
                  <c:v>93.44</c:v>
                </c:pt>
                <c:pt idx="2">
                  <c:v>95.8</c:v>
                </c:pt>
                <c:pt idx="3">
                  <c:v>95.8</c:v>
                </c:pt>
                <c:pt idx="4">
                  <c:v>95.8</c:v>
                </c:pt>
                <c:pt idx="5">
                  <c:v>95.8</c:v>
                </c:pt>
                <c:pt idx="6">
                  <c:v>94.62</c:v>
                </c:pt>
                <c:pt idx="7">
                  <c:v>95.8</c:v>
                </c:pt>
                <c:pt idx="8">
                  <c:v>95.8</c:v>
                </c:pt>
                <c:pt idx="9">
                  <c:v>94.62</c:v>
                </c:pt>
                <c:pt idx="10">
                  <c:v>96.97</c:v>
                </c:pt>
                <c:pt idx="11">
                  <c:v>98.15</c:v>
                </c:pt>
                <c:pt idx="12">
                  <c:v>95.8</c:v>
                </c:pt>
                <c:pt idx="13">
                  <c:v>96.97</c:v>
                </c:pt>
                <c:pt idx="14">
                  <c:v>94.62</c:v>
                </c:pt>
                <c:pt idx="15">
                  <c:v>95.8</c:v>
                </c:pt>
                <c:pt idx="16">
                  <c:v>92.42</c:v>
                </c:pt>
                <c:pt idx="17">
                  <c:v>93.44</c:v>
                </c:pt>
                <c:pt idx="18">
                  <c:v>92.77</c:v>
                </c:pt>
                <c:pt idx="19">
                  <c:v>93.44</c:v>
                </c:pt>
                <c:pt idx="20">
                  <c:v>95.8</c:v>
                </c:pt>
                <c:pt idx="21">
                  <c:v>94.62</c:v>
                </c:pt>
                <c:pt idx="22">
                  <c:v>94.62</c:v>
                </c:pt>
                <c:pt idx="23">
                  <c:v>96.97</c:v>
                </c:pt>
                <c:pt idx="24">
                  <c:v>96.97</c:v>
                </c:pt>
                <c:pt idx="25">
                  <c:v>92.27</c:v>
                </c:pt>
                <c:pt idx="26">
                  <c:v>95.8</c:v>
                </c:pt>
                <c:pt idx="27">
                  <c:v>96.97</c:v>
                </c:pt>
                <c:pt idx="28">
                  <c:v>94.62</c:v>
                </c:pt>
                <c:pt idx="29">
                  <c:v>94.62</c:v>
                </c:pt>
                <c:pt idx="30">
                  <c:v>95.8</c:v>
                </c:pt>
                <c:pt idx="31">
                  <c:v>95.8</c:v>
                </c:pt>
                <c:pt idx="32">
                  <c:v>93.44</c:v>
                </c:pt>
                <c:pt idx="33">
                  <c:v>94.62</c:v>
                </c:pt>
                <c:pt idx="34">
                  <c:v>94.62</c:v>
                </c:pt>
                <c:pt idx="35">
                  <c:v>95.8</c:v>
                </c:pt>
                <c:pt idx="36">
                  <c:v>94.62</c:v>
                </c:pt>
                <c:pt idx="37">
                  <c:v>95.8</c:v>
                </c:pt>
                <c:pt idx="38">
                  <c:v>95.8</c:v>
                </c:pt>
                <c:pt idx="39">
                  <c:v>94.62</c:v>
                </c:pt>
                <c:pt idx="40">
                  <c:v>95.8</c:v>
                </c:pt>
                <c:pt idx="41">
                  <c:v>94.62</c:v>
                </c:pt>
                <c:pt idx="42">
                  <c:v>96.97</c:v>
                </c:pt>
                <c:pt idx="43">
                  <c:v>94.62</c:v>
                </c:pt>
                <c:pt idx="44">
                  <c:v>94.62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93.75</c:v>
                </c:pt>
                <c:pt idx="54">
                  <c:v>93.75</c:v>
                </c:pt>
                <c:pt idx="55">
                  <c:v>93.75</c:v>
                </c:pt>
                <c:pt idx="56">
                  <c:v>93.75</c:v>
                </c:pt>
                <c:pt idx="57">
                  <c:v>93.75</c:v>
                </c:pt>
                <c:pt idx="58">
                  <c:v>93.75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8BC-1349-A1E2-9C48E4E2275F}"/>
            </c:ext>
          </c:extLst>
        </c:ser>
        <c:ser>
          <c:idx val="0"/>
          <c:order val="0"/>
          <c:tx>
            <c:v>overall_score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56082"/>
              </a:solidFill>
              <a:ln w="9525">
                <a:solidFill>
                  <a:srgbClr val="156082"/>
                </a:solidFill>
                <a:prstDash val="solid"/>
              </a:ln>
              <a:effectLst/>
            </c:spPr>
          </c:marker>
          <c:val>
            <c:numRef>
              <c:f>Dashboard!$P$26:$P$5025</c:f>
            </c:numRef>
          </c:val>
          <c:smooth val="0"/>
          <c:extLst>
            <c:ext xmlns:c16="http://schemas.microsoft.com/office/drawing/2014/chart" uri="{C3380CC4-5D6E-409C-BE32-E72D297353CC}">
              <c16:uniqueId val="{00000005-88BC-1349-A1E2-9C48E4E2275F}"/>
            </c:ext>
          </c:extLst>
        </c:ser>
        <c:ser>
          <c:idx val="1"/>
          <c:order val="1"/>
          <c:tx>
            <c:strRef>
              <c:f>Dashboard!$Q$25</c:f>
              <c:strCache>
                <c:ptCount val="1"/>
                <c:pt idx="0">
                  <c:v>overall_score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Dashboard!$Q$26:$Q$5025</c:f>
            </c:numRef>
          </c:val>
          <c:smooth val="0"/>
          <c:extLst>
            <c:ext xmlns:c16="http://schemas.microsoft.com/office/drawing/2014/chart" uri="{C3380CC4-5D6E-409C-BE32-E72D297353CC}">
              <c16:uniqueId val="{00000006-88BC-1349-A1E2-9C48E4E22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4620464"/>
        <c:axId val="1358936640"/>
      </c:lineChart>
      <c:catAx>
        <c:axId val="1534620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Refresh Time (UTC)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m/d\ h: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358936640"/>
        <c:crosses val="autoZero"/>
        <c:auto val="0"/>
        <c:lblAlgn val="ctr"/>
        <c:lblOffset val="100"/>
        <c:tickLblSkip val="8"/>
        <c:noMultiLvlLbl val="0"/>
      </c:catAx>
      <c:valAx>
        <c:axId val="13589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Overall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346204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Incidents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open_incident_count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tblQualityHistory!$A$2:$A$60</c:f>
              <c:numCache>
                <c:formatCode>m/d\ h:mm</c:formatCode>
                <c:ptCount val="59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</c:numCache>
            </c:numRef>
          </c:cat>
          <c:val>
            <c:numRef>
              <c:f>tblQualityHistory!$H$2:$H$60</c:f>
              <c:numCache>
                <c:formatCode>General</c:formatCode>
                <c:ptCount val="59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9</c:v>
                </c:pt>
                <c:pt idx="17">
                  <c:v>6</c:v>
                </c:pt>
                <c:pt idx="18">
                  <c:v>7</c:v>
                </c:pt>
                <c:pt idx="19">
                  <c:v>6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3</c:v>
                </c:pt>
                <c:pt idx="24">
                  <c:v>3</c:v>
                </c:pt>
                <c:pt idx="25">
                  <c:v>7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  <c:pt idx="31">
                  <c:v>4</c:v>
                </c:pt>
                <c:pt idx="32">
                  <c:v>6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5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4</c:v>
                </c:pt>
                <c:pt idx="41">
                  <c:v>5</c:v>
                </c:pt>
                <c:pt idx="42">
                  <c:v>3</c:v>
                </c:pt>
                <c:pt idx="43">
                  <c:v>5</c:v>
                </c:pt>
                <c:pt idx="44">
                  <c:v>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55-C04D-9C9F-20EE5429176A}"/>
            </c:ext>
          </c:extLst>
        </c:ser>
        <c:ser>
          <c:idx val="0"/>
          <c:order val="0"/>
          <c:tx>
            <c:strRef>
              <c:f>Dashboard!$Z$25</c:f>
              <c:strCache>
                <c:ptCount val="1"/>
                <c:pt idx="0">
                  <c:v>open_incident_count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Dashboard!$Y$26:$Y$81</c:f>
            </c:multiLvlStrRef>
          </c:cat>
          <c:val>
            <c:numRef>
              <c:f>Dashboard!$Z$26:$Z$81</c:f>
            </c:numRef>
          </c:val>
          <c:smooth val="0"/>
          <c:extLst>
            <c:ext xmlns:c16="http://schemas.microsoft.com/office/drawing/2014/chart" uri="{C3380CC4-5D6E-409C-BE32-E72D297353CC}">
              <c16:uniqueId val="{00000000-EB55-C04D-9C9F-20EE54291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929120"/>
        <c:axId val="1275440752"/>
      </c:lineChart>
      <c:catAx>
        <c:axId val="87792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Refresh Time (UTC)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m/d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275440752"/>
        <c:crosses val="autoZero"/>
        <c:auto val="0"/>
        <c:lblAlgn val="ctr"/>
        <c:lblOffset val="100"/>
        <c:tickLblSkip val="8"/>
        <c:noMultiLvlLbl val="0"/>
      </c:catAx>
      <c:valAx>
        <c:axId val="12754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Open Incidents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77929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Positive Movers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 Stocks'!$R$5</c:f>
              <c:strCache>
                <c:ptCount val="1"/>
                <c:pt idx="0">
                  <c:v>Move bps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 Stocks'!$Q$6:$Q$10</c:f>
              <c:strCache>
                <c:ptCount val="3"/>
                <c:pt idx="0">
                  <c:v>JPM</c:v>
                </c:pt>
                <c:pt idx="1">
                  <c:v>COST</c:v>
                </c:pt>
                <c:pt idx="2">
                  <c:v>CAT</c:v>
                </c:pt>
              </c:strCache>
            </c:strRef>
          </c:cat>
          <c:val>
            <c:numRef>
              <c:f>'US Stocks'!$R$6:$R$10</c:f>
              <c:numCache>
                <c:formatCode>0.00\ "bps"</c:formatCode>
                <c:ptCount val="5"/>
                <c:pt idx="0">
                  <c:v>6.2100091340644425</c:v>
                </c:pt>
                <c:pt idx="1">
                  <c:v>3.2328021292915565</c:v>
                </c:pt>
                <c:pt idx="2">
                  <c:v>0.37301621900187598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1-624F-B2D3-D965C490F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0360607"/>
        <c:axId val="2094563680"/>
      </c:barChart>
      <c:catAx>
        <c:axId val="1430360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Symbol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94563680"/>
        <c:crosses val="autoZero"/>
        <c:auto val="1"/>
        <c:lblAlgn val="ctr"/>
        <c:lblOffset val="100"/>
        <c:noMultiLvlLbl val="0"/>
      </c:catAx>
      <c:valAx>
        <c:axId val="209456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3036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Negative Movers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 Stocks'!$U$5</c:f>
              <c:strCache>
                <c:ptCount val="1"/>
                <c:pt idx="0">
                  <c:v>Move bps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 Stocks'!$T$6:$T$10</c:f>
              <c:strCache>
                <c:ptCount val="5"/>
                <c:pt idx="0">
                  <c:v>LLY</c:v>
                </c:pt>
                <c:pt idx="1">
                  <c:v>JNJ</c:v>
                </c:pt>
                <c:pt idx="2">
                  <c:v>BAC</c:v>
                </c:pt>
                <c:pt idx="3">
                  <c:v>GE</c:v>
                </c:pt>
                <c:pt idx="4">
                  <c:v>WMT</c:v>
                </c:pt>
              </c:strCache>
            </c:strRef>
          </c:cat>
          <c:val>
            <c:numRef>
              <c:f>'US Stocks'!$U$6:$U$10</c:f>
              <c:numCache>
                <c:formatCode>0.00\ "bps"</c:formatCode>
                <c:ptCount val="5"/>
                <c:pt idx="0">
                  <c:v>-35.207270816017825</c:v>
                </c:pt>
                <c:pt idx="1">
                  <c:v>-27.986716339913897</c:v>
                </c:pt>
                <c:pt idx="2">
                  <c:v>-21.363527825626338</c:v>
                </c:pt>
                <c:pt idx="3">
                  <c:v>-19.042405554651197</c:v>
                </c:pt>
                <c:pt idx="4">
                  <c:v>-12.064474148431037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E-714B-9E9D-50872BA01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7949664"/>
        <c:axId val="878079024"/>
      </c:barChart>
      <c:catAx>
        <c:axId val="877949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Symbol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78079024"/>
        <c:crosses val="autoZero"/>
        <c:auto val="1"/>
        <c:lblAlgn val="ctr"/>
        <c:lblOffset val="100"/>
        <c:noMultiLvlLbl val="0"/>
      </c:catAx>
      <c:valAx>
        <c:axId val="87807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7794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Widest Quote Spreads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 Stocks'!$X$5</c:f>
              <c:strCache>
                <c:ptCount val="1"/>
                <c:pt idx="0">
                  <c:v>Spread bps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 Stocks'!$W$6:$W$10</c:f>
              <c:strCache>
                <c:ptCount val="5"/>
                <c:pt idx="0">
                  <c:v>BAC</c:v>
                </c:pt>
                <c:pt idx="1">
                  <c:v>LLY</c:v>
                </c:pt>
                <c:pt idx="2">
                  <c:v>GE</c:v>
                </c:pt>
                <c:pt idx="3">
                  <c:v>JPM</c:v>
                </c:pt>
                <c:pt idx="4">
                  <c:v>CVX</c:v>
                </c:pt>
              </c:strCache>
            </c:strRef>
          </c:cat>
          <c:val>
            <c:numRef>
              <c:f>'US Stocks'!$X$6:$X$10</c:f>
              <c:numCache>
                <c:formatCode>0.00\ "bps"</c:formatCode>
                <c:ptCount val="5"/>
                <c:pt idx="0">
                  <c:v>1070.9838107098374</c:v>
                </c:pt>
                <c:pt idx="1">
                  <c:v>1033.3090613516667</c:v>
                </c:pt>
                <c:pt idx="2">
                  <c:v>1031.4148492244706</c:v>
                </c:pt>
                <c:pt idx="3">
                  <c:v>1021.4568124268841</c:v>
                </c:pt>
                <c:pt idx="4">
                  <c:v>1019.0591073582632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8-C145-B469-362C62847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8803424"/>
        <c:axId val="1488805136"/>
      </c:barChart>
      <c:catAx>
        <c:axId val="1488803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Symbol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88805136"/>
        <c:crosses val="autoZero"/>
        <c:auto val="1"/>
        <c:lblAlgn val="ctr"/>
        <c:lblOffset val="100"/>
        <c:noMultiLvlLbl val="0"/>
      </c:catAx>
      <c:valAx>
        <c:axId val="148880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Spread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8880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Positive Movers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'Japan Stocks'!$K$5</c:f>
              <c:strCache>
                <c:ptCount val="1"/>
                <c:pt idx="0">
                  <c:v>Move bps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'Japan Stocks'!$J$6:$J$10</c:f>
              <c:strCache>
                <c:ptCount val="5"/>
                <c:pt idx="0">
                  <c:v>6861.T</c:v>
                </c:pt>
                <c:pt idx="1">
                  <c:v>6758.T</c:v>
                </c:pt>
                <c:pt idx="2">
                  <c:v>7974.T</c:v>
                </c:pt>
                <c:pt idx="3">
                  <c:v>6501.T</c:v>
                </c:pt>
                <c:pt idx="4">
                  <c:v>8306.T</c:v>
                </c:pt>
              </c:strCache>
            </c:strRef>
          </c:cat>
          <c:val>
            <c:numRef>
              <c:f>'Japan Stocks'!$K$6:$K$10</c:f>
              <c:numCache>
                <c:formatCode>0.00\ "bps"</c:formatCode>
                <c:ptCount val="5"/>
                <c:pt idx="0">
                  <c:v>23.234800567961678</c:v>
                </c:pt>
                <c:pt idx="1">
                  <c:v>13.553808620221375</c:v>
                </c:pt>
                <c:pt idx="2">
                  <c:v>9.7644330526058809</c:v>
                </c:pt>
                <c:pt idx="3">
                  <c:v>7.243752263672576</c:v>
                </c:pt>
                <c:pt idx="4">
                  <c:v>5.5881531153945119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5-7C4B-B551-7E5F300D5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6426224"/>
        <c:axId val="766427936"/>
      </c:barChart>
      <c:catAx>
        <c:axId val="766426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Symbol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66427936"/>
        <c:crosses val="autoZero"/>
        <c:auto val="1"/>
        <c:lblAlgn val="ctr"/>
        <c:lblOffset val="100"/>
        <c:noMultiLvlLbl val="0"/>
      </c:catAx>
      <c:valAx>
        <c:axId val="76642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6642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Negative Movers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'Japan Stocks'!$N$5</c:f>
              <c:strCache>
                <c:ptCount val="1"/>
                <c:pt idx="0">
                  <c:v>Move bps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'Japan Stocks'!$M$6:$M$10</c:f>
              <c:strCache>
                <c:ptCount val="4"/>
                <c:pt idx="0">
                  <c:v>9984.T</c:v>
                </c:pt>
                <c:pt idx="1">
                  <c:v>9983.T</c:v>
                </c:pt>
                <c:pt idx="2">
                  <c:v>7203.T</c:v>
                </c:pt>
                <c:pt idx="3">
                  <c:v>7011.T</c:v>
                </c:pt>
              </c:strCache>
            </c:strRef>
          </c:cat>
          <c:val>
            <c:numRef>
              <c:f>'Japan Stocks'!$N$6:$N$10</c:f>
              <c:numCache>
                <c:formatCode>0.00\ "bps"</c:formatCode>
                <c:ptCount val="5"/>
                <c:pt idx="0">
                  <c:v>-32.863849765257804</c:v>
                </c:pt>
                <c:pt idx="1">
                  <c:v>-10.304725452672248</c:v>
                </c:pt>
                <c:pt idx="2">
                  <c:v>-5.034401745259709</c:v>
                </c:pt>
                <c:pt idx="3">
                  <c:v>-2.5451768897943872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4-3949-AE8E-B7E00058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8360816"/>
        <c:axId val="878150240"/>
      </c:barChart>
      <c:catAx>
        <c:axId val="878360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Symbol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78150240"/>
        <c:crosses val="autoZero"/>
        <c:auto val="1"/>
        <c:lblAlgn val="ctr"/>
        <c:lblOffset val="100"/>
        <c:noMultiLvlLbl val="0"/>
      </c:catAx>
      <c:valAx>
        <c:axId val="87815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7836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 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Tech!$Q$4</c:f>
              <c:strCache>
                <c:ptCount val="1"/>
                <c:pt idx="0">
                  <c:v>Move bps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Tech!$P$5:$P$9</c:f>
              <c:strCache>
                <c:ptCount val="5"/>
                <c:pt idx="0">
                  <c:v>AAPL</c:v>
                </c:pt>
                <c:pt idx="1">
                  <c:v>GOOGL</c:v>
                </c:pt>
                <c:pt idx="2">
                  <c:v>META</c:v>
                </c:pt>
                <c:pt idx="3">
                  <c:v>MSFT</c:v>
                </c:pt>
                <c:pt idx="4">
                  <c:v>NVDA</c:v>
                </c:pt>
              </c:strCache>
            </c:strRef>
          </c:cat>
          <c:val>
            <c:numRef>
              <c:f>Tech!$Q$5:$Q$9</c:f>
              <c:numCache>
                <c:formatCode>0.00\ "bps"</c:formatCode>
                <c:ptCount val="5"/>
                <c:pt idx="0">
                  <c:v>-25.540220386698344</c:v>
                </c:pt>
                <c:pt idx="1">
                  <c:v>-2.9188248611533574</c:v>
                </c:pt>
                <c:pt idx="2">
                  <c:v>-21.775311871004011</c:v>
                </c:pt>
                <c:pt idx="3">
                  <c:v>-10.33958325891815</c:v>
                </c:pt>
                <c:pt idx="4">
                  <c:v>-10.677350941696861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F-E347-8671-74CACB2DE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77683040"/>
        <c:axId val="877684752"/>
      </c:barChart>
      <c:catAx>
        <c:axId val="8776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Symbol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77684752"/>
        <c:crosses val="autoZero"/>
        <c:auto val="1"/>
        <c:lblAlgn val="ctr"/>
        <c:lblOffset val="100"/>
        <c:noMultiLvlLbl val="0"/>
      </c:catAx>
      <c:valAx>
        <c:axId val="87768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776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 Quote Spreads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Tech!$T$4</c:f>
              <c:strCache>
                <c:ptCount val="1"/>
                <c:pt idx="0">
                  <c:v>Spread bps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Tech!$S$5:$S$9</c:f>
              <c:strCache>
                <c:ptCount val="5"/>
                <c:pt idx="0">
                  <c:v>AAPL</c:v>
                </c:pt>
                <c:pt idx="1">
                  <c:v>GOOGL</c:v>
                </c:pt>
                <c:pt idx="2">
                  <c:v>META</c:v>
                </c:pt>
                <c:pt idx="3">
                  <c:v>MSFT</c:v>
                </c:pt>
                <c:pt idx="4">
                  <c:v>NVDA</c:v>
                </c:pt>
              </c:strCache>
            </c:strRef>
          </c:cat>
          <c:val>
            <c:numRef>
              <c:f>Tech!$T$5:$T$9</c:f>
              <c:numCache>
                <c:formatCode>0.00\ "bps"</c:formatCode>
                <c:ptCount val="5"/>
                <c:pt idx="0">
                  <c:v>0</c:v>
                </c:pt>
                <c:pt idx="1">
                  <c:v>1198.5040784475393</c:v>
                </c:pt>
                <c:pt idx="2">
                  <c:v>974.56834555574846</c:v>
                </c:pt>
                <c:pt idx="3">
                  <c:v>1009.9336075265009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0-924D-802B-1F593715B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88827168"/>
        <c:axId val="1488459888"/>
      </c:barChart>
      <c:catAx>
        <c:axId val="1488827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Symbol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88459888"/>
        <c:crosses val="autoZero"/>
        <c:auto val="1"/>
        <c:lblAlgn val="ctr"/>
        <c:lblOffset val="100"/>
        <c:noMultiLvlLbl val="0"/>
      </c:catAx>
      <c:valAx>
        <c:axId val="148845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Spread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\ &quot;bp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8882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Data Quality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'Data Quality'!$P$18</c:f>
              <c:strCache>
                <c:ptCount val="1"/>
                <c:pt idx="0">
                  <c:v>overall_score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tblQualityHistory!$A$2:$A$60</c:f>
              <c:numCache>
                <c:formatCode>m/d\ h:mm</c:formatCode>
                <c:ptCount val="59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</c:numCache>
            </c:numRef>
          </c:cat>
          <c:val>
            <c:numRef>
              <c:f>tblQualityHistory!$B$2:$B$60</c:f>
              <c:numCache>
                <c:formatCode>General</c:formatCode>
                <c:ptCount val="59"/>
                <c:pt idx="0">
                  <c:v>94.62</c:v>
                </c:pt>
                <c:pt idx="1">
                  <c:v>93.44</c:v>
                </c:pt>
                <c:pt idx="2">
                  <c:v>95.8</c:v>
                </c:pt>
                <c:pt idx="3">
                  <c:v>95.8</c:v>
                </c:pt>
                <c:pt idx="4">
                  <c:v>95.8</c:v>
                </c:pt>
                <c:pt idx="5">
                  <c:v>95.8</c:v>
                </c:pt>
                <c:pt idx="6">
                  <c:v>94.62</c:v>
                </c:pt>
                <c:pt idx="7">
                  <c:v>95.8</c:v>
                </c:pt>
                <c:pt idx="8">
                  <c:v>95.8</c:v>
                </c:pt>
                <c:pt idx="9">
                  <c:v>94.62</c:v>
                </c:pt>
                <c:pt idx="10">
                  <c:v>96.97</c:v>
                </c:pt>
                <c:pt idx="11">
                  <c:v>98.15</c:v>
                </c:pt>
                <c:pt idx="12">
                  <c:v>95.8</c:v>
                </c:pt>
                <c:pt idx="13">
                  <c:v>96.97</c:v>
                </c:pt>
                <c:pt idx="14">
                  <c:v>94.62</c:v>
                </c:pt>
                <c:pt idx="15">
                  <c:v>95.8</c:v>
                </c:pt>
                <c:pt idx="16">
                  <c:v>92.42</c:v>
                </c:pt>
                <c:pt idx="17">
                  <c:v>93.44</c:v>
                </c:pt>
                <c:pt idx="18">
                  <c:v>92.77</c:v>
                </c:pt>
                <c:pt idx="19">
                  <c:v>93.44</c:v>
                </c:pt>
                <c:pt idx="20">
                  <c:v>95.8</c:v>
                </c:pt>
                <c:pt idx="21">
                  <c:v>94.62</c:v>
                </c:pt>
                <c:pt idx="22">
                  <c:v>94.62</c:v>
                </c:pt>
                <c:pt idx="23">
                  <c:v>96.97</c:v>
                </c:pt>
                <c:pt idx="24">
                  <c:v>96.97</c:v>
                </c:pt>
                <c:pt idx="25">
                  <c:v>92.27</c:v>
                </c:pt>
                <c:pt idx="26">
                  <c:v>95.8</c:v>
                </c:pt>
                <c:pt idx="27">
                  <c:v>96.97</c:v>
                </c:pt>
                <c:pt idx="28">
                  <c:v>94.62</c:v>
                </c:pt>
                <c:pt idx="29">
                  <c:v>94.62</c:v>
                </c:pt>
                <c:pt idx="30">
                  <c:v>95.8</c:v>
                </c:pt>
                <c:pt idx="31">
                  <c:v>95.8</c:v>
                </c:pt>
                <c:pt idx="32">
                  <c:v>93.44</c:v>
                </c:pt>
                <c:pt idx="33">
                  <c:v>94.62</c:v>
                </c:pt>
                <c:pt idx="34">
                  <c:v>94.62</c:v>
                </c:pt>
                <c:pt idx="35">
                  <c:v>95.8</c:v>
                </c:pt>
                <c:pt idx="36">
                  <c:v>94.62</c:v>
                </c:pt>
                <c:pt idx="37">
                  <c:v>95.8</c:v>
                </c:pt>
                <c:pt idx="38">
                  <c:v>95.8</c:v>
                </c:pt>
                <c:pt idx="39">
                  <c:v>94.62</c:v>
                </c:pt>
                <c:pt idx="40">
                  <c:v>95.8</c:v>
                </c:pt>
                <c:pt idx="41">
                  <c:v>94.62</c:v>
                </c:pt>
                <c:pt idx="42">
                  <c:v>96.97</c:v>
                </c:pt>
                <c:pt idx="43">
                  <c:v>94.62</c:v>
                </c:pt>
                <c:pt idx="44">
                  <c:v>94.62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93.75</c:v>
                </c:pt>
                <c:pt idx="54">
                  <c:v>93.75</c:v>
                </c:pt>
                <c:pt idx="55">
                  <c:v>93.75</c:v>
                </c:pt>
                <c:pt idx="56">
                  <c:v>93.75</c:v>
                </c:pt>
                <c:pt idx="57">
                  <c:v>93.75</c:v>
                </c:pt>
                <c:pt idx="58">
                  <c:v>93.75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87-6042-B21F-F4C832F75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4470992"/>
        <c:axId val="1534472704"/>
      </c:lineChart>
      <c:catAx>
        <c:axId val="1534470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Refresh Time (UTC)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mm\-d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34472704"/>
        <c:crosses val="autoZero"/>
        <c:auto val="0"/>
        <c:lblAlgn val="ctr"/>
        <c:lblOffset val="100"/>
        <c:tickLblSkip val="8"/>
        <c:noMultiLvlLbl val="0"/>
      </c:catAx>
      <c:valAx>
        <c:axId val="1534472704"/>
        <c:scaling>
          <c:orientation val="minMax"/>
          <c:max val="100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Overall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3447099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Quality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'Data Quality'!$S$18</c:f>
              <c:strCache>
                <c:ptCount val="1"/>
                <c:pt idx="0">
                  <c:v>completeness_pct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tblQualityHistory!$A$2:$A$60</c:f>
              <c:numCache>
                <c:formatCode>m/d\ h:mm</c:formatCode>
                <c:ptCount val="59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</c:numCache>
            </c:numRef>
          </c:cat>
          <c:val>
            <c:numRef>
              <c:f>tblQualityHistory!$D$2:$D$60</c:f>
              <c:numCache>
                <c:formatCode>General</c:formatCode>
                <c:ptCount val="5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73-AB48-B8DA-98EF942CE6FC}"/>
            </c:ext>
          </c:extLst>
        </c:ser>
        <c:ser>
          <c:idx val="2"/>
          <c:order val="1"/>
          <c:tx>
            <c:strRef>
              <c:f>'Data Quality'!$T$18</c:f>
              <c:strCache>
                <c:ptCount val="1"/>
                <c:pt idx="0">
                  <c:v>timeliness_pct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tblQualityHistory!$A$2:$A$60</c:f>
              <c:numCache>
                <c:formatCode>m/d\ h:mm</c:formatCode>
                <c:ptCount val="59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</c:numCache>
            </c:numRef>
          </c:cat>
          <c:val>
            <c:numRef>
              <c:f>tblQualityHistory!$E$2:$E$60</c:f>
              <c:numCache>
                <c:formatCode>General</c:formatCode>
                <c:ptCount val="59"/>
                <c:pt idx="0">
                  <c:v>97.3</c:v>
                </c:pt>
                <c:pt idx="1">
                  <c:v>97.3</c:v>
                </c:pt>
                <c:pt idx="2">
                  <c:v>97.3</c:v>
                </c:pt>
                <c:pt idx="3">
                  <c:v>97.3</c:v>
                </c:pt>
                <c:pt idx="4">
                  <c:v>97.3</c:v>
                </c:pt>
                <c:pt idx="5">
                  <c:v>97.3</c:v>
                </c:pt>
                <c:pt idx="6">
                  <c:v>97.3</c:v>
                </c:pt>
                <c:pt idx="7">
                  <c:v>97.3</c:v>
                </c:pt>
                <c:pt idx="8">
                  <c:v>97.3</c:v>
                </c:pt>
                <c:pt idx="9">
                  <c:v>97.3</c:v>
                </c:pt>
                <c:pt idx="10">
                  <c:v>97.3</c:v>
                </c:pt>
                <c:pt idx="11">
                  <c:v>97.3</c:v>
                </c:pt>
                <c:pt idx="12">
                  <c:v>97.3</c:v>
                </c:pt>
                <c:pt idx="13">
                  <c:v>97.3</c:v>
                </c:pt>
                <c:pt idx="14">
                  <c:v>97.3</c:v>
                </c:pt>
                <c:pt idx="15">
                  <c:v>97.3</c:v>
                </c:pt>
                <c:pt idx="16">
                  <c:v>97.3</c:v>
                </c:pt>
                <c:pt idx="17">
                  <c:v>97.3</c:v>
                </c:pt>
                <c:pt idx="18">
                  <c:v>97.3</c:v>
                </c:pt>
                <c:pt idx="19">
                  <c:v>97.3</c:v>
                </c:pt>
                <c:pt idx="20">
                  <c:v>97.3</c:v>
                </c:pt>
                <c:pt idx="21">
                  <c:v>97.3</c:v>
                </c:pt>
                <c:pt idx="22">
                  <c:v>97.3</c:v>
                </c:pt>
                <c:pt idx="23">
                  <c:v>97.3</c:v>
                </c:pt>
                <c:pt idx="24">
                  <c:v>97.3</c:v>
                </c:pt>
                <c:pt idx="25">
                  <c:v>97.3</c:v>
                </c:pt>
                <c:pt idx="26">
                  <c:v>97.3</c:v>
                </c:pt>
                <c:pt idx="27">
                  <c:v>97.3</c:v>
                </c:pt>
                <c:pt idx="28">
                  <c:v>97.3</c:v>
                </c:pt>
                <c:pt idx="29">
                  <c:v>97.3</c:v>
                </c:pt>
                <c:pt idx="30">
                  <c:v>97.3</c:v>
                </c:pt>
                <c:pt idx="31">
                  <c:v>97.3</c:v>
                </c:pt>
                <c:pt idx="32">
                  <c:v>97.3</c:v>
                </c:pt>
                <c:pt idx="33">
                  <c:v>97.3</c:v>
                </c:pt>
                <c:pt idx="34">
                  <c:v>97.3</c:v>
                </c:pt>
                <c:pt idx="35">
                  <c:v>97.3</c:v>
                </c:pt>
                <c:pt idx="36">
                  <c:v>97.3</c:v>
                </c:pt>
                <c:pt idx="37">
                  <c:v>97.3</c:v>
                </c:pt>
                <c:pt idx="38">
                  <c:v>97.3</c:v>
                </c:pt>
                <c:pt idx="39">
                  <c:v>97.3</c:v>
                </c:pt>
                <c:pt idx="40">
                  <c:v>97.3</c:v>
                </c:pt>
                <c:pt idx="41">
                  <c:v>97.3</c:v>
                </c:pt>
                <c:pt idx="42">
                  <c:v>97.3</c:v>
                </c:pt>
                <c:pt idx="43">
                  <c:v>97.3</c:v>
                </c:pt>
                <c:pt idx="44">
                  <c:v>97.3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75</c:v>
                </c:pt>
                <c:pt idx="54">
                  <c:v>75</c:v>
                </c:pt>
                <c:pt idx="55">
                  <c:v>75</c:v>
                </c:pt>
                <c:pt idx="56">
                  <c:v>75</c:v>
                </c:pt>
                <c:pt idx="57">
                  <c:v>75</c:v>
                </c:pt>
                <c:pt idx="58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73-AB48-B8DA-98EF942CE6FC}"/>
            </c:ext>
          </c:extLst>
        </c:ser>
        <c:ser>
          <c:idx val="3"/>
          <c:order val="2"/>
          <c:tx>
            <c:strRef>
              <c:f>'Data Quality'!$U$18</c:f>
              <c:strCache>
                <c:ptCount val="1"/>
                <c:pt idx="0">
                  <c:v>validity_pct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tblQualityHistory!$A$2:$A$60</c:f>
              <c:numCache>
                <c:formatCode>m/d\ h:mm</c:formatCode>
                <c:ptCount val="59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</c:numCache>
            </c:numRef>
          </c:cat>
          <c:val>
            <c:numRef>
              <c:f>tblQualityHistory!$F$2:$F$60</c:f>
              <c:numCache>
                <c:formatCode>General</c:formatCode>
                <c:ptCount val="5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86.49</c:v>
                </c:pt>
                <c:pt idx="17">
                  <c:v>100</c:v>
                </c:pt>
                <c:pt idx="18">
                  <c:v>97.3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73-AB48-B8DA-98EF942CE6FC}"/>
            </c:ext>
          </c:extLst>
        </c:ser>
        <c:ser>
          <c:idx val="4"/>
          <c:order val="3"/>
          <c:tx>
            <c:strRef>
              <c:f>'Data Quality'!$V$18</c:f>
              <c:strCache>
                <c:ptCount val="1"/>
                <c:pt idx="0">
                  <c:v>consistency_pct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tblQualityHistory!$A$2:$A$60</c:f>
              <c:numCache>
                <c:formatCode>m/d\ h:mm</c:formatCode>
                <c:ptCount val="59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</c:numCache>
            </c:numRef>
          </c:cat>
          <c:val>
            <c:numRef>
              <c:f>tblQualityHistory!$G$2:$G$60</c:f>
              <c:numCache>
                <c:formatCode>General</c:formatCode>
                <c:ptCount val="59"/>
                <c:pt idx="0">
                  <c:v>76.47</c:v>
                </c:pt>
                <c:pt idx="1">
                  <c:v>70.59</c:v>
                </c:pt>
                <c:pt idx="2">
                  <c:v>82.35</c:v>
                </c:pt>
                <c:pt idx="3">
                  <c:v>82.35</c:v>
                </c:pt>
                <c:pt idx="4">
                  <c:v>82.35</c:v>
                </c:pt>
                <c:pt idx="5">
                  <c:v>82.35</c:v>
                </c:pt>
                <c:pt idx="6">
                  <c:v>76.47</c:v>
                </c:pt>
                <c:pt idx="7">
                  <c:v>82.35</c:v>
                </c:pt>
                <c:pt idx="8">
                  <c:v>82.35</c:v>
                </c:pt>
                <c:pt idx="9">
                  <c:v>76.47</c:v>
                </c:pt>
                <c:pt idx="10">
                  <c:v>88.24</c:v>
                </c:pt>
                <c:pt idx="11">
                  <c:v>94.12</c:v>
                </c:pt>
                <c:pt idx="12">
                  <c:v>82.35</c:v>
                </c:pt>
                <c:pt idx="13">
                  <c:v>88.24</c:v>
                </c:pt>
                <c:pt idx="14">
                  <c:v>76.47</c:v>
                </c:pt>
                <c:pt idx="15">
                  <c:v>82.35</c:v>
                </c:pt>
                <c:pt idx="16">
                  <c:v>82.35</c:v>
                </c:pt>
                <c:pt idx="17">
                  <c:v>70.59</c:v>
                </c:pt>
                <c:pt idx="18">
                  <c:v>70.59</c:v>
                </c:pt>
                <c:pt idx="19">
                  <c:v>70.59</c:v>
                </c:pt>
                <c:pt idx="20">
                  <c:v>82.35</c:v>
                </c:pt>
                <c:pt idx="21">
                  <c:v>76.47</c:v>
                </c:pt>
                <c:pt idx="22">
                  <c:v>76.47</c:v>
                </c:pt>
                <c:pt idx="23">
                  <c:v>88.24</c:v>
                </c:pt>
                <c:pt idx="24">
                  <c:v>88.24</c:v>
                </c:pt>
                <c:pt idx="25">
                  <c:v>64.709999999999994</c:v>
                </c:pt>
                <c:pt idx="26">
                  <c:v>82.35</c:v>
                </c:pt>
                <c:pt idx="27">
                  <c:v>88.24</c:v>
                </c:pt>
                <c:pt idx="28">
                  <c:v>76.47</c:v>
                </c:pt>
                <c:pt idx="29">
                  <c:v>76.47</c:v>
                </c:pt>
                <c:pt idx="30">
                  <c:v>82.35</c:v>
                </c:pt>
                <c:pt idx="31">
                  <c:v>82.35</c:v>
                </c:pt>
                <c:pt idx="32">
                  <c:v>70.59</c:v>
                </c:pt>
                <c:pt idx="33">
                  <c:v>76.47</c:v>
                </c:pt>
                <c:pt idx="34">
                  <c:v>76.47</c:v>
                </c:pt>
                <c:pt idx="35">
                  <c:v>82.35</c:v>
                </c:pt>
                <c:pt idx="36">
                  <c:v>76.47</c:v>
                </c:pt>
                <c:pt idx="37">
                  <c:v>82.35</c:v>
                </c:pt>
                <c:pt idx="38">
                  <c:v>82.35</c:v>
                </c:pt>
                <c:pt idx="39">
                  <c:v>76.47</c:v>
                </c:pt>
                <c:pt idx="40">
                  <c:v>82.35</c:v>
                </c:pt>
                <c:pt idx="41">
                  <c:v>76.47</c:v>
                </c:pt>
                <c:pt idx="42">
                  <c:v>88.24</c:v>
                </c:pt>
                <c:pt idx="43">
                  <c:v>76.47</c:v>
                </c:pt>
                <c:pt idx="44">
                  <c:v>76.47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73-AB48-B8DA-98EF942CE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8458896"/>
        <c:axId val="1488631920"/>
      </c:lineChart>
      <c:catAx>
        <c:axId val="1428458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Refresh Time (UTC)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mm\-d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88631920"/>
        <c:crosses val="autoZero"/>
        <c:auto val="0"/>
        <c:lblAlgn val="ctr"/>
        <c:lblOffset val="100"/>
        <c:tickLblSkip val="8"/>
        <c:noMultiLvlLbl val="0"/>
      </c:catAx>
      <c:valAx>
        <c:axId val="1488631920"/>
        <c:scaling>
          <c:orientation val="minMax"/>
          <c:max val="105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2845889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Incidents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'Data Quality'!$Y$18</c:f>
              <c:strCache>
                <c:ptCount val="1"/>
                <c:pt idx="0">
                  <c:v>open_incident_count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tblQualityHistory!$A$2:$A$60</c:f>
              <c:numCache>
                <c:formatCode>m/d\ h:mm</c:formatCode>
                <c:ptCount val="59"/>
                <c:pt idx="0">
                  <c:v>46289.418100150462</c:v>
                </c:pt>
                <c:pt idx="1">
                  <c:v>46289.418266215274</c:v>
                </c:pt>
                <c:pt idx="2">
                  <c:v>46289.421780324075</c:v>
                </c:pt>
                <c:pt idx="3">
                  <c:v>46289.425304895834</c:v>
                </c:pt>
                <c:pt idx="4">
                  <c:v>46289.425547106483</c:v>
                </c:pt>
                <c:pt idx="5">
                  <c:v>46289.428823506947</c:v>
                </c:pt>
                <c:pt idx="6">
                  <c:v>46289.432339224535</c:v>
                </c:pt>
                <c:pt idx="7">
                  <c:v>46289.435854409719</c:v>
                </c:pt>
                <c:pt idx="8">
                  <c:v>46289.439369282409</c:v>
                </c:pt>
                <c:pt idx="9">
                  <c:v>46289.442884745367</c:v>
                </c:pt>
                <c:pt idx="10">
                  <c:v>46289.447565416667</c:v>
                </c:pt>
                <c:pt idx="11">
                  <c:v>46289.493769606481</c:v>
                </c:pt>
                <c:pt idx="12">
                  <c:v>46289.497330046295</c:v>
                </c:pt>
                <c:pt idx="13">
                  <c:v>46289.500847442127</c:v>
                </c:pt>
                <c:pt idx="14">
                  <c:v>46289.504365324072</c:v>
                </c:pt>
                <c:pt idx="15">
                  <c:v>46289.507888009262</c:v>
                </c:pt>
                <c:pt idx="16">
                  <c:v>46289.511411053238</c:v>
                </c:pt>
                <c:pt idx="17">
                  <c:v>46289.514935798608</c:v>
                </c:pt>
                <c:pt idx="18">
                  <c:v>46289.518451655094</c:v>
                </c:pt>
                <c:pt idx="19">
                  <c:v>46289.521967986111</c:v>
                </c:pt>
                <c:pt idx="20">
                  <c:v>46289.525509861109</c:v>
                </c:pt>
                <c:pt idx="21">
                  <c:v>46289.529025682874</c:v>
                </c:pt>
                <c:pt idx="22">
                  <c:v>46289.532541064815</c:v>
                </c:pt>
                <c:pt idx="23">
                  <c:v>46289.536057141202</c:v>
                </c:pt>
                <c:pt idx="24">
                  <c:v>46289.539577303243</c:v>
                </c:pt>
                <c:pt idx="25">
                  <c:v>46289.543096284724</c:v>
                </c:pt>
                <c:pt idx="26">
                  <c:v>46289.546615740743</c:v>
                </c:pt>
                <c:pt idx="27">
                  <c:v>46289.55013462963</c:v>
                </c:pt>
                <c:pt idx="28">
                  <c:v>46289.553655509262</c:v>
                </c:pt>
                <c:pt idx="29">
                  <c:v>46289.557176365743</c:v>
                </c:pt>
                <c:pt idx="30">
                  <c:v>46289.560702465278</c:v>
                </c:pt>
                <c:pt idx="31">
                  <c:v>46289.564220636574</c:v>
                </c:pt>
                <c:pt idx="32">
                  <c:v>46289.567737847225</c:v>
                </c:pt>
                <c:pt idx="33">
                  <c:v>46289.57125883102</c:v>
                </c:pt>
                <c:pt idx="34">
                  <c:v>46289.574775034722</c:v>
                </c:pt>
                <c:pt idx="35">
                  <c:v>46289.578291238424</c:v>
                </c:pt>
                <c:pt idx="36">
                  <c:v>46289.581812303244</c:v>
                </c:pt>
                <c:pt idx="37">
                  <c:v>46289.58533170139</c:v>
                </c:pt>
                <c:pt idx="38">
                  <c:v>46289.58884960648</c:v>
                </c:pt>
                <c:pt idx="39">
                  <c:v>46289.592365960649</c:v>
                </c:pt>
                <c:pt idx="40">
                  <c:v>46289.595883761576</c:v>
                </c:pt>
                <c:pt idx="41">
                  <c:v>46289.599401446758</c:v>
                </c:pt>
                <c:pt idx="42">
                  <c:v>46289.602917442127</c:v>
                </c:pt>
                <c:pt idx="43">
                  <c:v>46289.606437997689</c:v>
                </c:pt>
                <c:pt idx="44">
                  <c:v>46289.609955983797</c:v>
                </c:pt>
                <c:pt idx="45">
                  <c:v>46289.668897222225</c:v>
                </c:pt>
                <c:pt idx="46">
                  <c:v>46289.693079363424</c:v>
                </c:pt>
                <c:pt idx="47">
                  <c:v>46289.696602037038</c:v>
                </c:pt>
                <c:pt idx="48">
                  <c:v>46289.700123020833</c:v>
                </c:pt>
                <c:pt idx="49">
                  <c:v>46289.703640462962</c:v>
                </c:pt>
                <c:pt idx="50">
                  <c:v>46289.707156562501</c:v>
                </c:pt>
                <c:pt idx="51">
                  <c:v>46289.710690300926</c:v>
                </c:pt>
                <c:pt idx="52">
                  <c:v>46289.714215196756</c:v>
                </c:pt>
                <c:pt idx="53">
                  <c:v>46289.717732650461</c:v>
                </c:pt>
                <c:pt idx="54">
                  <c:v>46289.721265624998</c:v>
                </c:pt>
                <c:pt idx="55">
                  <c:v>46289.7247952662</c:v>
                </c:pt>
                <c:pt idx="56">
                  <c:v>46289.728318912035</c:v>
                </c:pt>
                <c:pt idx="57">
                  <c:v>46289.731835462961</c:v>
                </c:pt>
                <c:pt idx="58">
                  <c:v>46289.735422812497</c:v>
                </c:pt>
              </c:numCache>
            </c:numRef>
          </c:cat>
          <c:val>
            <c:numRef>
              <c:f>tblQualityHistory!$H$2:$H$60</c:f>
              <c:numCache>
                <c:formatCode>General</c:formatCode>
                <c:ptCount val="59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9</c:v>
                </c:pt>
                <c:pt idx="17">
                  <c:v>6</c:v>
                </c:pt>
                <c:pt idx="18">
                  <c:v>7</c:v>
                </c:pt>
                <c:pt idx="19">
                  <c:v>6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3</c:v>
                </c:pt>
                <c:pt idx="24">
                  <c:v>3</c:v>
                </c:pt>
                <c:pt idx="25">
                  <c:v>7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  <c:pt idx="31">
                  <c:v>4</c:v>
                </c:pt>
                <c:pt idx="32">
                  <c:v>6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5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4</c:v>
                </c:pt>
                <c:pt idx="41">
                  <c:v>5</c:v>
                </c:pt>
                <c:pt idx="42">
                  <c:v>3</c:v>
                </c:pt>
                <c:pt idx="43">
                  <c:v>5</c:v>
                </c:pt>
                <c:pt idx="44">
                  <c:v>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4D-7C49-8096-5EEC4110C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4648256"/>
        <c:axId val="1534476128"/>
      </c:lineChart>
      <c:catAx>
        <c:axId val="1534648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Refresh Time (UTC)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mm\-d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34476128"/>
        <c:crosses val="autoZero"/>
        <c:auto val="0"/>
        <c:lblAlgn val="ctr"/>
        <c:lblOffset val="100"/>
        <c:tickLblSkip val="8"/>
        <c:noMultiLvlLbl val="0"/>
      </c:catAx>
      <c:valAx>
        <c:axId val="1534476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Open Incidents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346482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Incidents by Issue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Incidents!$Q$17</c:f>
              <c:strCache>
                <c:ptCount val="1"/>
                <c:pt idx="0">
                  <c:v>Open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Incidents!$P$18:$P$50</c:f>
              <c:strCache>
                <c:ptCount val="1"/>
                <c:pt idx="0">
                  <c:v>STALE</c:v>
                </c:pt>
              </c:strCache>
            </c:strRef>
          </c:cat>
          <c:val>
            <c:numRef>
              <c:f>Incidents!$Q$18:$Q$50</c:f>
              <c:numCache>
                <c:formatCode>General</c:formatCode>
                <c:ptCount val="3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7-7647-9783-D75E55C3B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3771664"/>
        <c:axId val="2063773376"/>
      </c:barChart>
      <c:catAx>
        <c:axId val="2063771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Issue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63773376"/>
        <c:crosses val="autoZero"/>
        <c:auto val="1"/>
        <c:lblAlgn val="ctr"/>
        <c:lblOffset val="100"/>
        <c:noMultiLvlLbl val="0"/>
      </c:catAx>
      <c:valAx>
        <c:axId val="206377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Open Incidents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6377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28</xdr:row>
      <xdr:rowOff>190500</xdr:rowOff>
    </xdr:from>
    <xdr:to>
      <xdr:col>9</xdr:col>
      <xdr:colOff>1206500</xdr:colOff>
      <xdr:row>43</xdr:row>
      <xdr:rowOff>0</xdr:rowOff>
    </xdr:to>
    <xdr:graphicFrame macro="">
      <xdr:nvGraphicFramePr>
        <xdr:cNvPr id="3" name="chtDashboardComponents">
          <a:extLst>
            <a:ext uri="{FF2B5EF4-FFF2-40B4-BE49-F238E27FC236}">
              <a16:creationId xmlns:a16="http://schemas.microsoft.com/office/drawing/2014/main" id="{A649F8D4-81C9-EC65-B897-F837F7D12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190500</xdr:rowOff>
    </xdr:from>
    <xdr:to>
      <xdr:col>4</xdr:col>
      <xdr:colOff>495300</xdr:colOff>
      <xdr:row>43</xdr:row>
      <xdr:rowOff>0</xdr:rowOff>
    </xdr:to>
    <xdr:graphicFrame macro="">
      <xdr:nvGraphicFramePr>
        <xdr:cNvPr id="5" name="chtDashboardQuality">
          <a:extLst>
            <a:ext uri="{FF2B5EF4-FFF2-40B4-BE49-F238E27FC236}">
              <a16:creationId xmlns:a16="http://schemas.microsoft.com/office/drawing/2014/main" id="{2E2240B5-127E-BCA5-AD5E-7058A94FC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1244600</xdr:colOff>
      <xdr:row>29</xdr:row>
      <xdr:rowOff>25400</xdr:rowOff>
    </xdr:from>
    <xdr:to>
      <xdr:col>13</xdr:col>
      <xdr:colOff>76200</xdr:colOff>
      <xdr:row>43</xdr:row>
      <xdr:rowOff>38100</xdr:rowOff>
    </xdr:to>
    <xdr:graphicFrame macro="">
      <xdr:nvGraphicFramePr>
        <xdr:cNvPr id="11" name="chtDashboardIncidents">
          <a:extLst>
            <a:ext uri="{FF2B5EF4-FFF2-40B4-BE49-F238E27FC236}">
              <a16:creationId xmlns:a16="http://schemas.microsoft.com/office/drawing/2014/main" id="{72A460C7-F3B6-CFFB-2C14-030EBFE22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11</xdr:row>
      <xdr:rowOff>0</xdr:rowOff>
    </xdr:from>
    <xdr:to>
      <xdr:col>21</xdr:col>
      <xdr:colOff>0</xdr:colOff>
      <xdr:row>23</xdr:row>
      <xdr:rowOff>0</xdr:rowOff>
    </xdr:to>
    <xdr:graphicFrame macro="">
      <xdr:nvGraphicFramePr>
        <xdr:cNvPr id="2" name="chtUSPositive">
          <a:extLst>
            <a:ext uri="{FF2B5EF4-FFF2-40B4-BE49-F238E27FC236}">
              <a16:creationId xmlns:a16="http://schemas.microsoft.com/office/drawing/2014/main" id="{5FA5D49E-4D92-AA3F-47CC-216920F91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11</xdr:row>
      <xdr:rowOff>0</xdr:rowOff>
    </xdr:from>
    <xdr:to>
      <xdr:col>26</xdr:col>
      <xdr:colOff>0</xdr:colOff>
      <xdr:row>23</xdr:row>
      <xdr:rowOff>0</xdr:rowOff>
    </xdr:to>
    <xdr:graphicFrame macro="">
      <xdr:nvGraphicFramePr>
        <xdr:cNvPr id="3" name="chtUSNegative">
          <a:extLst>
            <a:ext uri="{FF2B5EF4-FFF2-40B4-BE49-F238E27FC236}">
              <a16:creationId xmlns:a16="http://schemas.microsoft.com/office/drawing/2014/main" id="{5BC55934-E7A8-41D9-78DB-8FCB29121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24</xdr:row>
      <xdr:rowOff>0</xdr:rowOff>
    </xdr:from>
    <xdr:to>
      <xdr:col>26</xdr:col>
      <xdr:colOff>0</xdr:colOff>
      <xdr:row>38</xdr:row>
      <xdr:rowOff>0</xdr:rowOff>
    </xdr:to>
    <xdr:graphicFrame macro="">
      <xdr:nvGraphicFramePr>
        <xdr:cNvPr id="4" name="chtUSSpreads">
          <a:extLst>
            <a:ext uri="{FF2B5EF4-FFF2-40B4-BE49-F238E27FC236}">
              <a16:creationId xmlns:a16="http://schemas.microsoft.com/office/drawing/2014/main" id="{8F77E2C0-A4CA-F977-3BCB-B3C9027BD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tJapanPositive">
          <a:extLst>
            <a:ext uri="{FF2B5EF4-FFF2-40B4-BE49-F238E27FC236}">
              <a16:creationId xmlns:a16="http://schemas.microsoft.com/office/drawing/2014/main" id="{EDC18FE9-1814-7ACA-A7DC-7925BE6D0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11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3" name="chtJapanNegative">
          <a:extLst>
            <a:ext uri="{FF2B5EF4-FFF2-40B4-BE49-F238E27FC236}">
              <a16:creationId xmlns:a16="http://schemas.microsoft.com/office/drawing/2014/main" id="{2F329D1E-E8DA-9560-23D0-2907766A2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tTechPerformance">
          <a:extLst>
            <a:ext uri="{FF2B5EF4-FFF2-40B4-BE49-F238E27FC236}">
              <a16:creationId xmlns:a16="http://schemas.microsoft.com/office/drawing/2014/main" id="{B3C01B49-B7B2-55A5-E020-3913DA98B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3" name="chtTechSpreads">
          <a:extLst>
            <a:ext uri="{FF2B5EF4-FFF2-40B4-BE49-F238E27FC236}">
              <a16:creationId xmlns:a16="http://schemas.microsoft.com/office/drawing/2014/main" id="{C6047C78-04B8-265F-3FCA-35C285250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4</xdr:col>
      <xdr:colOff>0</xdr:colOff>
      <xdr:row>32</xdr:row>
      <xdr:rowOff>0</xdr:rowOff>
    </xdr:to>
    <xdr:graphicFrame macro="">
      <xdr:nvGraphicFramePr>
        <xdr:cNvPr id="2" name="chtQualityScore">
          <a:extLst>
            <a:ext uri="{FF2B5EF4-FFF2-40B4-BE49-F238E27FC236}">
              <a16:creationId xmlns:a16="http://schemas.microsoft.com/office/drawing/2014/main" id="{5F56F18A-E3E4-087B-BE99-D03056CBA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3" name="chtQualityComponents">
          <a:extLst>
            <a:ext uri="{FF2B5EF4-FFF2-40B4-BE49-F238E27FC236}">
              <a16:creationId xmlns:a16="http://schemas.microsoft.com/office/drawing/2014/main" id="{8258C743-16ED-0EA6-021A-30C16F521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4" name="chtQualityIncidents">
          <a:extLst>
            <a:ext uri="{FF2B5EF4-FFF2-40B4-BE49-F238E27FC236}">
              <a16:creationId xmlns:a16="http://schemas.microsoft.com/office/drawing/2014/main" id="{BBF8157C-A16D-4A7B-387C-99B1A337B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21</xdr:col>
      <xdr:colOff>0</xdr:colOff>
      <xdr:row>15</xdr:row>
      <xdr:rowOff>0</xdr:rowOff>
    </xdr:to>
    <xdr:graphicFrame macro="">
      <xdr:nvGraphicFramePr>
        <xdr:cNvPr id="2" name="chtIncidentTypes">
          <a:extLst>
            <a:ext uri="{FF2B5EF4-FFF2-40B4-BE49-F238E27FC236}">
              <a16:creationId xmlns:a16="http://schemas.microsoft.com/office/drawing/2014/main" id="{00A5AF05-6EAA-7CAC-C345-BD8AF04F7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F5BA4FC-A45B-F346-975D-443D9C76F20B}" autoFormatId="16" applyNumberFormats="0" applyBorderFormats="0" applyFontFormats="0" applyPatternFormats="0" applyAlignmentFormats="0" applyWidthHeightFormats="0">
  <queryTableRefresh nextId="29">
    <queryTableFields count="25">
      <queryTableField id="1" name="symbol" tableColumnId="1"/>
      <queryTableField id="2" name="name" tableColumnId="2"/>
      <queryTableField id="3" name="category" tableColumnId="3"/>
      <queryTableField id="4" name="country" tableColumnId="4"/>
      <queryTableField id="5" name="price" tableColumnId="5"/>
      <queryTableField id="6" name="volume" tableColumnId="6"/>
      <queryTableField id="7" name="move_bps" tableColumnId="7"/>
      <queryTableField id="8" name="zscore_20" tableColumnId="8"/>
      <queryTableField id="9" name="market_age_minutes" tableColumnId="9"/>
      <queryTableField id="10" name="market_expected_open" tableColumnId="10"/>
      <queryTableField id="11" name="market_stale_flag" tableColumnId="11"/>
      <queryTableField id="12" name="market_outlier_flag" tableColumnId="12"/>
      <queryTableField id="13" name="market_quality_status" tableColumnId="13"/>
      <queryTableField id="14" name="bid" tableColumnId="14"/>
      <queryTableField id="15" name="ask" tableColumnId="15"/>
      <queryTableField id="16" name="mid" tableColumnId="16"/>
      <queryTableField id="17" name="spread_bps" tableColumnId="17"/>
      <queryTableField id="18" name="quote_age_seconds" tableColumnId="18"/>
      <queryTableField id="19" name="quote_stale_flag" tableColumnId="19"/>
      <queryTableField id="20" name="crossed_flag" tableColumnId="20"/>
      <queryTableField id="21" name="locked_flag" tableColumnId="21"/>
      <queryTableField id="22" name="quote_quality_status" tableColumnId="22"/>
      <queryTableField id="23" name="final_quality_status" tableColumnId="23"/>
      <queryTableField id="24" name="market_updated_at_utc" tableColumnId="24"/>
      <queryTableField id="25" name="quote_updated_at_utc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62C0127-BDD4-CE43-809C-36F2F00B012A}" autoFormatId="16" applyNumberFormats="0" applyBorderFormats="0" applyFontFormats="0" applyPatternFormats="0" applyAlignmentFormats="0" applyWidthHeightFormats="0">
  <queryTableRefresh nextId="22">
    <queryTableFields count="21">
      <queryTableField id="1" name="symbol" tableColumnId="1"/>
      <queryTableField id="2" name="name" tableColumnId="2"/>
      <queryTableField id="3" name="category" tableColumnId="3"/>
      <queryTableField id="4" name="country" tableColumnId="4"/>
      <queryTableField id="5" name="bid" tableColumnId="5"/>
      <queryTableField id="6" name="ask" tableColumnId="6"/>
      <queryTableField id="7" name="bid_size" tableColumnId="7"/>
      <queryTableField id="8" name="ask_size" tableColumnId="8"/>
      <queryTableField id="9" name="mid" tableColumnId="9"/>
      <queryTableField id="10" name="spread" tableColumnId="10"/>
      <queryTableField id="11" name="spread_bps" tableColumnId="11"/>
      <queryTableField id="12" name="quote_age_seconds" tableColumnId="12"/>
      <queryTableField id="13" name="market_expected_open" tableColumnId="13"/>
      <queryTableField id="14" name="missing_flag" tableColumnId="14"/>
      <queryTableField id="15" name="stale_flag" tableColumnId="15"/>
      <queryTableField id="16" name="crossed_flag" tableColumnId="16"/>
      <queryTableField id="17" name="locked_flag" tableColumnId="17"/>
      <queryTableField id="18" name="quality_status" tableColumnId="18"/>
      <queryTableField id="19" name="quote_timestamp_utc" tableColumnId="19"/>
      <queryTableField id="20" name="ingested_at_utc" tableColumnId="20"/>
      <queryTableField id="21" name="source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461098C8-A7ED-3F4C-80A2-EE7FF4569B66}" autoFormatId="16" applyNumberFormats="0" applyBorderFormats="0" applyFontFormats="0" applyPatternFormats="0" applyAlignmentFormats="0" applyWidthHeightFormats="0">
  <queryTableRefresh nextId="13">
    <queryTableFields count="12">
      <queryTableField id="1" name="country" tableColumnId="1"/>
      <queryTableField id="2" name="indicator" tableColumnId="2"/>
      <queryTableField id="3" name="series_id" tableColumnId="3"/>
      <queryTableField id="4" name="source_date" tableColumnId="4"/>
      <queryTableField id="5" name="dashboard_value" tableColumnId="5"/>
      <queryTableField id="6" name="dashboard_unit" tableColumnId="6"/>
      <queryTableField id="7" name="value" tableColumnId="7"/>
      <queryTableField id="8" name="yoy_percent" tableColumnId="8"/>
      <queryTableField id="9" name="unit" tableColumnId="9"/>
      <queryTableField id="10" name="frequency" tableColumnId="10"/>
      <queryTableField id="11" name="source" tableColumnId="11"/>
      <queryTableField id="12" name="ingested_at_utc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772CC21-C3AD-B245-A2FB-CD731B145DF8}" autoFormatId="16" applyNumberFormats="0" applyBorderFormats="0" applyFontFormats="0" applyPatternFormats="0" applyAlignmentFormats="0" applyWidthHeightFormats="0">
  <queryTableRefresh nextId="16">
    <queryTableFields count="15">
      <queryTableField id="1" name="status" tableColumnId="1"/>
      <queryTableField id="2" name="severity" tableColumnId="2"/>
      <queryTableField id="3" name="symbol" tableColumnId="3"/>
      <queryTableField id="4" name="name" tableColumnId="4"/>
      <queryTableField id="5" name="issue_type" tableColumnId="5"/>
      <queryTableField id="6" name="occurrence_count" tableColumnId="6"/>
      <queryTableField id="7" name="first_seen_utc" tableColumnId="7"/>
      <queryTableField id="8" name="last_seen_utc" tableColumnId="8"/>
      <queryTableField id="9" name="resolved_at_utc" tableColumnId="9"/>
      <queryTableField id="10" name="observed_value" tableColumnId="10"/>
      <queryTableField id="11" name="threshold_value" tableColumnId="11"/>
      <queryTableField id="12" name="details" tableColumnId="12"/>
      <queryTableField id="13" name="dataset" tableColumnId="13"/>
      <queryTableField id="14" name="opened_run_id" tableColumnId="14"/>
      <queryTableField id="15" name="last_run_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005B6DD-0183-8848-ACD0-00D6A711E321}" autoFormatId="16" applyNumberFormats="0" applyBorderFormats="0" applyFontFormats="0" applyPatternFormats="0" applyAlignmentFormats="0" applyWidthHeightFormats="0">
  <queryTableRefresh nextId="17">
    <queryTableFields count="16">
      <queryTableField id="1" name="ingested_at_utc" tableColumnId="1"/>
      <queryTableField id="2" name="overall_score" tableColumnId="2"/>
      <queryTableField id="3" name="status" tableColumnId="3"/>
      <queryTableField id="4" name="completeness_pct" tableColumnId="4"/>
      <queryTableField id="5" name="timeliness_pct" tableColumnId="5"/>
      <queryTableField id="6" name="validity_pct" tableColumnId="6"/>
      <queryTableField id="7" name="consistency_pct" tableColumnId="7"/>
      <queryTableField id="8" name="open_incident_count" tableColumnId="8"/>
      <queryTableField id="9" name="critical_incident_count" tableColumnId="9"/>
      <queryTableField id="10" name="high_incident_count" tableColumnId="10"/>
      <queryTableField id="11" name="medium_incident_count" tableColumnId="11"/>
      <queryTableField id="12" name="market_records" tableColumnId="12"/>
      <queryTableField id="13" name="quote_records" tableColumnId="13"/>
      <queryTableField id="14" name="evaluated_records" tableColumnId="14"/>
      <queryTableField id="15" name="run_id" tableColumnId="15"/>
      <queryTableField id="16" name="notes" tableColumnId="1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FCD6601F-0D3E-9A4E-8D73-E8B610DF7B6F}" autoFormatId="16" applyNumberFormats="0" applyBorderFormats="0" applyFontFormats="0" applyPatternFormats="0" applyAlignmentFormats="0" applyWidthHeightFormats="0">
  <queryTableRefresh nextId="14">
    <queryTableFields count="13">
      <queryTableField id="1" name="ingested_at_utc" tableColumnId="1"/>
      <queryTableField id="2" name="overall_score" tableColumnId="2"/>
      <queryTableField id="3" name="status" tableColumnId="3"/>
      <queryTableField id="4" name="completeness_pct" tableColumnId="4"/>
      <queryTableField id="5" name="timeliness_pct" tableColumnId="5"/>
      <queryTableField id="6" name="validity_pct" tableColumnId="6"/>
      <queryTableField id="7" name="consistency_pct" tableColumnId="7"/>
      <queryTableField id="8" name="open_incident_count" tableColumnId="8"/>
      <queryTableField id="9" name="critical_incident_count" tableColumnId="9"/>
      <queryTableField id="10" name="high_incident_count" tableColumnId="10"/>
      <queryTableField id="11" name="medium_incident_count" tableColumnId="11"/>
      <queryTableField id="12" name="evaluated_records" tableColumnId="12"/>
      <queryTableField id="13" name="run_id" tableColumnId="13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95FFBB-BCE2-B04D-9430-F6282245A23F}" name="tblUSStocksView" displayName="tblUSStocksView" ref="A5:O55" totalsRowShown="0" headerRowDxfId="216" dataDxfId="217" headerRowBorderDxfId="228">
  <autoFilter ref="A5:O55" xr:uid="{2E95FFBB-BCE2-B04D-9430-F6282245A23F}"/>
  <tableColumns count="15">
    <tableColumn id="1" xr3:uid="{F9AFCEE3-C29F-384E-93FD-34A25BC7CD2C}" name="Symbol" dataDxfId="227"/>
    <tableColumn id="2" xr3:uid="{21F60FB6-B921-E14A-B77B-DB33EE1BCB6C}" name="Company" dataDxfId="226"/>
    <tableColumn id="3" xr3:uid="{E88BD849-8175-354B-B47C-ACBE681A6A76}" name="Price" dataDxfId="225"/>
    <tableColumn id="4" xr3:uid="{522C75B3-C4B5-6B4C-9657-62597954A84F}" name="Move bps" dataDxfId="224"/>
    <tableColumn id="5" xr3:uid="{6E19E385-E277-3242-893E-3751A9F6760E}" name="Bid" dataDxfId="180">
      <calculatedColumnFormula array="1">_xlfn.LET(_xlpm.v,IFERROR(INDEX(_xlfn._xlws.FILTER(market_overview[bid],market_overview[category]="US Equity"),ROW()-5),""),IF(OR(_xlpm.v="",_xlpm.v=0),"",_xlpm.v))</calculatedColumnFormula>
    </tableColumn>
    <tableColumn id="6" xr3:uid="{5C9C9E24-EEF8-E947-8917-DA714A07CB25}" name="Ask" dataDxfId="179">
      <calculatedColumnFormula array="1">_xlfn.LET(_xlpm.v,IFERROR(INDEX(_xlfn._xlws.FILTER(market_overview[ask],market_overview[category]="US Equity"),ROW()-5),""),IF(OR(_xlpm.v="",_xlpm.v=0),"",_xlpm.v))</calculatedColumnFormula>
    </tableColumn>
    <tableColumn id="7" xr3:uid="{2CDF2391-09B5-E242-B442-AFBAC04CC927}" name="Mid" dataDxfId="178">
      <calculatedColumnFormula array="1">_xlfn.LET(_xlpm.v,IFERROR(INDEX(_xlfn._xlws.FILTER(market_overview[mid],market_overview[category]="US Equity"),ROW()-5),""),IF(OR(_xlpm.v="",_xlpm.v=0),"",_xlpm.v))</calculatedColumnFormula>
    </tableColumn>
    <tableColumn id="8" xr3:uid="{1B316C54-CE4F-E847-B5BD-F3C0565BD603}" name="Spread bps†" dataDxfId="177">
      <calculatedColumnFormula array="1">_xlfn.LET(_xlpm.v,IFERROR(INDEX(_xlfn._xlws.FILTER(market_overview[spread_bps],market_overview[category]="US Equity"),ROW()-5),""),IF(OR(_xlpm.v="",_xlpm.v=0),"",_xlpm.v))</calculatedColumnFormula>
    </tableColumn>
    <tableColumn id="9" xr3:uid="{FE0BD50F-00F3-D94E-8954-7B57B1CA641C}" name="Quote Age @ Ingest" dataDxfId="223"/>
    <tableColumn id="10" xr3:uid="{8C7EDB6C-345E-6C49-929A-EF7A32ACEC4E}" name="Market Status" dataDxfId="222"/>
    <tableColumn id="11" xr3:uid="{387D03AF-4919-7D42-A306-5B3B7C7FDA3F}" name="Stale Flag*" dataDxfId="221"/>
    <tableColumn id="12" xr3:uid="{87A9FFFA-9F9E-D04B-BF91-F1707431CB73}" name="Outlier Flag" dataDxfId="220"/>
    <tableColumn id="13" xr3:uid="{4F75F887-D010-E140-94A6-D086CC77D19F}" name="Crossed Flag" dataDxfId="219"/>
    <tableColumn id="14" xr3:uid="{89DD670D-6C16-7644-A3D5-F459F9C0F690}" name="Locked Flag" dataDxfId="218"/>
    <tableColumn id="15" xr3:uid="{303B484C-EFFB-6847-852E-807E1D0F1156}" name="Analyst Quality Status" dataDxfId="18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7E9FBE-525D-6A43-A170-3779994A2444}" name="tblJapanStocksView" displayName="tblJapanStocksView" ref="A5:H30" totalsRowShown="0" headerRowDxfId="206" dataDxfId="207" headerRowBorderDxfId="215">
  <autoFilter ref="A5:H30" xr:uid="{577E9FBE-525D-6A43-A170-3779994A2444}"/>
  <tableColumns count="8">
    <tableColumn id="1" xr3:uid="{230D0CBF-1899-7B43-8CA6-87F530EF66C9}" name="Symbol" dataDxfId="214"/>
    <tableColumn id="2" xr3:uid="{FCC4C5B9-3DD9-E74B-8778-F619A529EFF9}" name="Company" dataDxfId="213"/>
    <tableColumn id="3" xr3:uid="{93F2B47D-64D3-1C40-8A63-89969D1124CA}" name="Price" dataDxfId="212"/>
    <tableColumn id="4" xr3:uid="{2FC8469C-84E1-FC45-B130-E2D7399FA33D}" name="Move bps" dataDxfId="211"/>
    <tableColumn id="5" xr3:uid="{B9DD2AF8-B8A8-0F4D-84CA-E406ECE71EF2}" name="Market Age @ Ingest" dataDxfId="210"/>
    <tableColumn id="6" xr3:uid="{5CF609A3-21FA-134C-8744-7E7BA5A35D5F}" name="Stale" dataDxfId="209"/>
    <tableColumn id="7" xr3:uid="{429295C6-7E77-E34F-8425-D5A539A50EE3}" name="Outlier" dataDxfId="208"/>
    <tableColumn id="8" xr3:uid="{709AC1AF-57CC-9446-AABB-D185D7A223A6}" name="Analyst Quality Status" dataDxfId="18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808344-4330-9B44-A036-86096DC9CFBF}" name="tblTechView" displayName="tblTechView" ref="A5:I10" totalsRowShown="0" headerRowDxfId="198" dataDxfId="199" headerRowBorderDxfId="205">
  <autoFilter ref="A5:I10" xr:uid="{B7808344-4330-9B44-A036-86096DC9CFBF}"/>
  <tableColumns count="9">
    <tableColumn id="1" xr3:uid="{092379C4-8904-694C-9FA5-B9104ED09CA9}" name="Symbol" dataDxfId="204"/>
    <tableColumn id="2" xr3:uid="{02D936D5-EBDB-9543-BCC6-12D1E5532C26}" name="Price" dataDxfId="203"/>
    <tableColumn id="3" xr3:uid="{FD5E46CF-A4F4-B34B-9C8C-A65BD380163B}" name="Move bps" dataDxfId="202"/>
    <tableColumn id="4" xr3:uid="{F71DF773-CE5B-F144-B4D2-884FC2093734}" name="Bid" dataDxfId="184">
      <calculatedColumnFormula array="1">_xlfn.LET(_xlpm.v,IFERROR(INDEX(_xlfn._xlws.FILTER(market_overview[bid],market_overview[category]="Tech"),ROW()-5),""),IF(OR(_xlpm.v="",_xlpm.v=0),"",_xlpm.v))</calculatedColumnFormula>
    </tableColumn>
    <tableColumn id="5" xr3:uid="{D15D638B-C453-6E44-B577-EAC7CF626BB2}" name="Ask" dataDxfId="183">
      <calculatedColumnFormula array="1">_xlfn.LET(_xlpm.v,IFERROR(INDEX(_xlfn._xlws.FILTER(market_overview[ask],market_overview[category]="Tech"),ROW()-5),""),IF(OR(_xlpm.v="",_xlpm.v=0),"",_xlpm.v))</calculatedColumnFormula>
    </tableColumn>
    <tableColumn id="6" xr3:uid="{5C2874B7-6A0A-814C-9EE9-94F65C12245A}" name="Spread bps" dataDxfId="182">
      <calculatedColumnFormula array="1">_xlfn.LET(_xlpm.v,IFERROR(INDEX(_xlfn._xlws.FILTER(market_overview[spread_bps],market_overview[category]="Tech"),ROW()-5),""),IF(OR(_xlpm.v="",_xlpm.v=0),"",_xlpm.v))</calculatedColumnFormula>
    </tableColumn>
    <tableColumn id="7" xr3:uid="{FE8BF172-6AD1-6D4C-B17D-C728341F551D}" name="Quote Age @ Ingest" dataDxfId="201"/>
    <tableColumn id="8" xr3:uid="{4EA83A59-56BD-DF46-9DC5-48CEE0960986}" name="Outlier Status" dataDxfId="200"/>
    <tableColumn id="9" xr3:uid="{D0D50696-E0B4-9C4E-B097-700154009240}" name="Analyst Quality Status" dataDxfId="181">
      <calculatedColumnFormula array="1">IFERROR(INDEX(_xlfn._xlws.FILTER(market_overview[final_quality_status],market_overview[category]="Tech"),ROW()-5),"")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54DDF5-0033-D74F-8E71-2EE07C10D163}" name="tblMacroView" displayName="tblMacroView" ref="A5:H11" totalsRowShown="0" headerRowDxfId="187" dataDxfId="188" headerRowBorderDxfId="197">
  <autoFilter ref="A5:H11" xr:uid="{2A54DDF5-0033-D74F-8E71-2EE07C10D163}"/>
  <tableColumns count="8">
    <tableColumn id="1" xr3:uid="{020CAA50-61E5-6844-A721-A496420320B3}" name="Country" dataDxfId="196"/>
    <tableColumn id="2" xr3:uid="{DC44C1C9-C101-714C-BBC4-117EA15AA81E}" name="Indicator" dataDxfId="195"/>
    <tableColumn id="3" xr3:uid="{F72CCC57-DEFB-AF4A-99A1-4AA55044BEF4}" name="Validated Source Date" dataDxfId="194"/>
    <tableColumn id="4" xr3:uid="{55C0B6A8-C4B1-0D41-BBF9-1EA258FD2306}" name="Validated Dashboard Value" dataDxfId="193"/>
    <tableColumn id="5" xr3:uid="{971F86FF-2BB7-FF48-9DC4-39D97AF42E75}" name="Unit" dataDxfId="192"/>
    <tableColumn id="6" xr3:uid="{6B0B0033-F507-084F-97EF-8674BB82B43A}" name="Source" dataDxfId="191"/>
    <tableColumn id="7" xr3:uid="{9726E6C3-2755-BE48-A112-D81A22A979C2}" name="Last Ingestion (UTC)" dataDxfId="190"/>
    <tableColumn id="8" xr3:uid="{932B4021-1DA8-A843-9211-D4C6D4528AEA}" name="Interpretation / Validation" dataDxfId="18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CA5CB8-693E-8F47-9D3C-9C07CCE23F91}" name="market_overview" displayName="market_overview" ref="A1:Y33" tableType="queryTable" totalsRowShown="0">
  <autoFilter ref="A1:Y33" xr:uid="{BFCA5CB8-693E-8F47-9D3C-9C07CCE23F91}"/>
  <tableColumns count="25">
    <tableColumn id="1" xr3:uid="{F03EE99C-92FE-A64D-B034-4137E02C58D4}" uniqueName="1" name="symbol" queryTableFieldId="1" dataDxfId="176"/>
    <tableColumn id="2" xr3:uid="{275ECF97-760C-A446-A5C3-1D1F34F2C361}" uniqueName="2" name="name" queryTableFieldId="2" dataDxfId="175"/>
    <tableColumn id="3" xr3:uid="{D8525F5D-EB0D-A14C-86E1-F6AAE45F6BCE}" uniqueName="3" name="category" queryTableFieldId="3" dataDxfId="174"/>
    <tableColumn id="4" xr3:uid="{69CC70BF-3CA7-6743-8EEE-6BEDCD1ABF60}" uniqueName="4" name="country" queryTableFieldId="4" dataDxfId="173"/>
    <tableColumn id="5" xr3:uid="{6EF87870-A339-5740-816F-3EFD5A26E42D}" uniqueName="5" name="price" queryTableFieldId="5"/>
    <tableColumn id="6" xr3:uid="{F1EF665C-2FE0-954C-98C9-800D6AE6AA55}" uniqueName="6" name="volume" queryTableFieldId="6"/>
    <tableColumn id="7" xr3:uid="{CAB5632F-F964-F642-8A44-0BFBAF7FC32A}" uniqueName="7" name="move_bps" queryTableFieldId="7"/>
    <tableColumn id="8" xr3:uid="{EC3F657C-A099-524F-B9C8-682DB7CCCFB8}" uniqueName="8" name="zscore_20" queryTableFieldId="8"/>
    <tableColumn id="9" xr3:uid="{5F213A33-1622-104B-B303-0DCF1B0E2195}" uniqueName="9" name="market_age_minutes" queryTableFieldId="9"/>
    <tableColumn id="10" xr3:uid="{81E327E0-51DA-5F44-863D-1A1502CFA085}" uniqueName="10" name="market_expected_open" queryTableFieldId="10" dataDxfId="172"/>
    <tableColumn id="11" xr3:uid="{9498B953-7F5D-D744-AE89-23AB2D89C01B}" uniqueName="11" name="market_stale_flag" queryTableFieldId="11" dataDxfId="171"/>
    <tableColumn id="12" xr3:uid="{11314DA3-15D7-544D-8F66-566507B3AEB5}" uniqueName="12" name="market_outlier_flag" queryTableFieldId="12" dataDxfId="170"/>
    <tableColumn id="13" xr3:uid="{58D174B0-E6D1-A749-BA15-EFB3BFFA1201}" uniqueName="13" name="market_quality_status" queryTableFieldId="13" dataDxfId="169"/>
    <tableColumn id="14" xr3:uid="{8EA22A6C-DA1C-D146-A218-E7D93A618749}" uniqueName="14" name="bid" queryTableFieldId="14"/>
    <tableColumn id="15" xr3:uid="{9519E202-0E53-D14E-8EEC-725F67FA0AC2}" uniqueName="15" name="ask" queryTableFieldId="15"/>
    <tableColumn id="16" xr3:uid="{1167C09B-24F3-144A-9DB0-43DA919C791F}" uniqueName="16" name="mid" queryTableFieldId="16"/>
    <tableColumn id="17" xr3:uid="{25E48686-9E48-6644-8577-851FFE12B446}" uniqueName="17" name="spread_bps" queryTableFieldId="17"/>
    <tableColumn id="18" xr3:uid="{9A70A043-EA65-314B-AAED-C4F94C22D0DA}" uniqueName="18" name="quote_age_seconds" queryTableFieldId="18"/>
    <tableColumn id="19" xr3:uid="{ABF156CB-6982-ED4D-8A3F-5311A0D3AE7A}" uniqueName="19" name="quote_stale_flag" queryTableFieldId="19" dataDxfId="168"/>
    <tableColumn id="20" xr3:uid="{CAA32A43-0A76-194C-AD9D-E2652BCC479D}" uniqueName="20" name="crossed_flag" queryTableFieldId="20" dataDxfId="167"/>
    <tableColumn id="21" xr3:uid="{9AADF11B-324C-6443-A6CB-5A7A51082374}" uniqueName="21" name="locked_flag" queryTableFieldId="21" dataDxfId="166"/>
    <tableColumn id="22" xr3:uid="{1C366F9A-67F7-A34E-A0BF-910970211DE6}" uniqueName="22" name="quote_quality_status" queryTableFieldId="22" dataDxfId="165"/>
    <tableColumn id="23" xr3:uid="{11294E12-D47B-9F49-82E6-98861F5C1B60}" uniqueName="23" name="final_quality_status" queryTableFieldId="23" dataDxfId="164"/>
    <tableColumn id="24" xr3:uid="{80768495-6EC6-A84F-A7E6-13654D340500}" uniqueName="24" name="market_updated_at_utc" queryTableFieldId="24" dataDxfId="163"/>
    <tableColumn id="25" xr3:uid="{25B13E71-A978-3C45-B807-C52D891ADA38}" uniqueName="25" name="quote_updated_at_utc" queryTableFieldId="25" dataDxfId="16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11185A-65D9-E540-AADB-CF6C76C66A18}" name="quotes" displayName="quotes" ref="A1:U17" tableType="queryTable" totalsRowShown="0">
  <autoFilter ref="A1:U17" xr:uid="{A511185A-65D9-E540-AADB-CF6C76C66A18}"/>
  <tableColumns count="21">
    <tableColumn id="1" xr3:uid="{63314A29-2E16-C54F-90F2-50B8923B4D15}" uniqueName="1" name="symbol" queryTableFieldId="1" dataDxfId="161"/>
    <tableColumn id="2" xr3:uid="{C055DBCE-F74E-B34B-A16C-6C7CAE45E2EB}" uniqueName="2" name="name" queryTableFieldId="2" dataDxfId="160"/>
    <tableColumn id="3" xr3:uid="{AFF0374E-01B8-FD45-8756-CA884741B998}" uniqueName="3" name="category" queryTableFieldId="3" dataDxfId="159"/>
    <tableColumn id="4" xr3:uid="{2F436629-571A-BC47-89FC-550072DDE3D6}" uniqueName="4" name="country" queryTableFieldId="4" dataDxfId="158"/>
    <tableColumn id="5" xr3:uid="{7E190D74-61EE-3947-8E88-72A17A1E820A}" uniqueName="5" name="bid" queryTableFieldId="5"/>
    <tableColumn id="6" xr3:uid="{4E676C7E-88FC-6643-B231-8A9733437622}" uniqueName="6" name="ask" queryTableFieldId="6"/>
    <tableColumn id="7" xr3:uid="{A3345D59-FD98-F04D-9E2E-778E73AB68F2}" uniqueName="7" name="bid_size" queryTableFieldId="7"/>
    <tableColumn id="8" xr3:uid="{0D3A7FB3-A9EC-5D42-B6E8-281333B2D2C2}" uniqueName="8" name="ask_size" queryTableFieldId="8"/>
    <tableColumn id="9" xr3:uid="{CF223E4E-448A-1F4B-9DFA-7DAB27E6449D}" uniqueName="9" name="mid" queryTableFieldId="9"/>
    <tableColumn id="10" xr3:uid="{5843EA18-E2FB-FC49-86C1-EA46F6A1C547}" uniqueName="10" name="spread" queryTableFieldId="10"/>
    <tableColumn id="11" xr3:uid="{C5632A66-122C-D546-BE51-6A94D7FEDA3A}" uniqueName="11" name="spread_bps" queryTableFieldId="11"/>
    <tableColumn id="12" xr3:uid="{9127A895-ED07-F848-ADF0-992D39767AC7}" uniqueName="12" name="quote_age_seconds" queryTableFieldId="12"/>
    <tableColumn id="13" xr3:uid="{EC674699-D10B-044A-8195-149209C047AD}" uniqueName="13" name="market_expected_open" queryTableFieldId="13" dataDxfId="157"/>
    <tableColumn id="14" xr3:uid="{1091E70D-A247-054B-90D4-9F8B61BC81EC}" uniqueName="14" name="missing_flag" queryTableFieldId="14" dataDxfId="156"/>
    <tableColumn id="15" xr3:uid="{43F09858-4D29-5F42-8DC6-BCCEB959D9B7}" uniqueName="15" name="stale_flag" queryTableFieldId="15" dataDxfId="155"/>
    <tableColumn id="16" xr3:uid="{9326DB72-2409-C24D-88E5-A65BCBCA4A79}" uniqueName="16" name="crossed_flag" queryTableFieldId="16" dataDxfId="154"/>
    <tableColumn id="17" xr3:uid="{38412CB6-4306-DA47-8549-74165D370C61}" uniqueName="17" name="locked_flag" queryTableFieldId="17" dataDxfId="153"/>
    <tableColumn id="18" xr3:uid="{35065BF0-6805-8A42-AC37-37E200590CAF}" uniqueName="18" name="quality_status" queryTableFieldId="18" dataDxfId="152"/>
    <tableColumn id="19" xr3:uid="{FF55EABC-83E9-914E-BB65-AAAFEFAE775C}" uniqueName="19" name="quote_timestamp_utc" queryTableFieldId="19" dataDxfId="151"/>
    <tableColumn id="20" xr3:uid="{FB1B34F9-6B42-8E4C-904C-E69261A12E1E}" uniqueName="20" name="ingested_at_utc" queryTableFieldId="20" dataDxfId="150"/>
    <tableColumn id="21" xr3:uid="{CC318278-7C1E-FA43-805C-FF8D9A3BE111}" uniqueName="21" name="source" queryTableFieldId="21" dataDxfId="14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64D5D6-F20F-344E-886B-A87057570A51}" name="macro" displayName="macro" ref="A1:L7" tableType="queryTable" totalsRowShown="0">
  <autoFilter ref="A1:L7" xr:uid="{0464D5D6-F20F-344E-886B-A87057570A51}"/>
  <tableColumns count="12">
    <tableColumn id="1" xr3:uid="{E6B2F580-7888-B24A-A8C4-3EAC9BF84A34}" uniqueName="1" name="country" queryTableFieldId="1" dataDxfId="148"/>
    <tableColumn id="2" xr3:uid="{94402DD3-D74F-1A41-8D44-0E8B4A6E1C29}" uniqueName="2" name="indicator" queryTableFieldId="2" dataDxfId="147"/>
    <tableColumn id="3" xr3:uid="{1A1C9AA2-F571-7641-8FA4-FC2E64CD7088}" uniqueName="3" name="series_id" queryTableFieldId="3" dataDxfId="146"/>
    <tableColumn id="4" xr3:uid="{682B9ED8-120B-614D-995D-155A4D3CD816}" uniqueName="4" name="source_date" queryTableFieldId="4" dataDxfId="145"/>
    <tableColumn id="5" xr3:uid="{9D571E92-CA69-CD40-AA22-A2FED1EF3249}" uniqueName="5" name="dashboard_value" queryTableFieldId="5"/>
    <tableColumn id="6" xr3:uid="{EFC6D71C-CA82-0A42-8184-6CFBCB1DC4B7}" uniqueName="6" name="dashboard_unit" queryTableFieldId="6" dataDxfId="144"/>
    <tableColumn id="7" xr3:uid="{F82A53AA-C138-D94D-A326-20903C0BC2D8}" uniqueName="7" name="value" queryTableFieldId="7"/>
    <tableColumn id="8" xr3:uid="{5111493A-9A17-7341-A36F-295E334B0C9D}" uniqueName="8" name="yoy_percent" queryTableFieldId="8"/>
    <tableColumn id="9" xr3:uid="{B7EEAFF3-D8FE-BA41-8975-4D713A80909B}" uniqueName="9" name="unit" queryTableFieldId="9" dataDxfId="143"/>
    <tableColumn id="10" xr3:uid="{60F28496-0A85-364B-9F08-EFCB4F9554DF}" uniqueName="10" name="frequency" queryTableFieldId="10" dataDxfId="142"/>
    <tableColumn id="11" xr3:uid="{0A4ECA25-64C9-794A-B931-B4F651CE6217}" uniqueName="11" name="source" queryTableFieldId="11" dataDxfId="141"/>
    <tableColumn id="12" xr3:uid="{D2D6B7A6-19F4-9840-B9B7-172381768482}" uniqueName="12" name="ingested_at_utc" queryTableFieldId="12" dataDxfId="14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9921E6-5984-614F-A046-A4BC719C1096}" name="incidents" displayName="incidents" ref="A1:O18" tableType="queryTable" totalsRowShown="0">
  <autoFilter ref="A1:O18" xr:uid="{F19921E6-5984-614F-A046-A4BC719C1096}"/>
  <tableColumns count="15">
    <tableColumn id="1" xr3:uid="{961C5BF3-1743-6447-B35C-50D45A65698C}" uniqueName="1" name="status" queryTableFieldId="1" dataDxfId="139"/>
    <tableColumn id="2" xr3:uid="{FE08CA6E-0C33-CC4F-80F1-5C324397048B}" uniqueName="2" name="severity" queryTableFieldId="2" dataDxfId="138"/>
    <tableColumn id="3" xr3:uid="{A7F4B7D0-0E51-3B4A-88A2-6F4B2BE6E1E1}" uniqueName="3" name="symbol" queryTableFieldId="3" dataDxfId="137"/>
    <tableColumn id="4" xr3:uid="{B253C3C2-01EF-FD4A-8CC3-AD1E95FC3EF9}" uniqueName="4" name="name" queryTableFieldId="4" dataDxfId="136"/>
    <tableColumn id="5" xr3:uid="{CEC4F47A-CDF4-5B4B-82F5-E49AF5040481}" uniqueName="5" name="issue_type" queryTableFieldId="5" dataDxfId="135"/>
    <tableColumn id="6" xr3:uid="{A6DD3A19-D6DC-6D41-8A4F-DC61737BDEE5}" uniqueName="6" name="occurrence_count" queryTableFieldId="6"/>
    <tableColumn id="7" xr3:uid="{3C219D01-4DF2-9C4F-9008-26E9B6FB39BC}" uniqueName="7" name="first_seen_utc" queryTableFieldId="7" dataDxfId="134"/>
    <tableColumn id="8" xr3:uid="{EC11DBFC-1460-1240-A545-6F30492152EE}" uniqueName="8" name="last_seen_utc" queryTableFieldId="8" dataDxfId="133"/>
    <tableColumn id="9" xr3:uid="{55E6562A-33EC-F54D-A6AD-70C56B9B8086}" uniqueName="9" name="resolved_at_utc" queryTableFieldId="9" dataDxfId="132"/>
    <tableColumn id="10" xr3:uid="{A52C960F-5F4B-B04C-A870-975C8B054B2B}" uniqueName="10" name="observed_value" queryTableFieldId="10"/>
    <tableColumn id="11" xr3:uid="{1AB2319C-3FA3-C542-A496-79FDDDD2A5BE}" uniqueName="11" name="threshold_value" queryTableFieldId="11"/>
    <tableColumn id="12" xr3:uid="{230BE614-EB33-C440-A657-99200DF67D66}" uniqueName="12" name="details" queryTableFieldId="12" dataDxfId="131"/>
    <tableColumn id="13" xr3:uid="{07FAA219-C49B-5A47-AF96-60E42B4D8407}" uniqueName="13" name="dataset" queryTableFieldId="13" dataDxfId="130"/>
    <tableColumn id="14" xr3:uid="{A675B2ED-D8C3-3D45-A772-F72B9143D982}" uniqueName="14" name="opened_run_id" queryTableFieldId="14" dataDxfId="129"/>
    <tableColumn id="15" xr3:uid="{636DC19F-C04D-914F-8DFD-A0D8B3F21148}" uniqueName="15" name="last_run_id" queryTableFieldId="15" dataDxfId="12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1ACBA2-E1A4-874F-BEB2-0D56F6D3A4A9}" name="quality_score" displayName="quality_score" ref="A1:P2" tableType="queryTable" totalsRowShown="0">
  <autoFilter ref="A1:P2" xr:uid="{571ACBA2-E1A4-874F-BEB2-0D56F6D3A4A9}"/>
  <tableColumns count="16">
    <tableColumn id="1" xr3:uid="{8F0D8EAD-0D13-9E4E-A251-F68851DD9955}" uniqueName="1" name="ingested_at_utc" queryTableFieldId="1" dataDxfId="127"/>
    <tableColumn id="2" xr3:uid="{E41BDEDB-EE1F-8141-9CCA-B73382FBFA80}" uniqueName="2" name="overall_score" queryTableFieldId="2"/>
    <tableColumn id="3" xr3:uid="{967CDFD8-44F6-604B-B3A9-24A2B3D5441D}" uniqueName="3" name="status" queryTableFieldId="3" dataDxfId="126"/>
    <tableColumn id="4" xr3:uid="{BCD366D9-6059-D14E-B750-184DFEC0E5AB}" uniqueName="4" name="completeness_pct" queryTableFieldId="4"/>
    <tableColumn id="5" xr3:uid="{07547404-48A0-0546-80B4-69FD6E1D91D8}" uniqueName="5" name="timeliness_pct" queryTableFieldId="5"/>
    <tableColumn id="6" xr3:uid="{A6E26153-DBB8-954C-AC0C-1C22CE143DF0}" uniqueName="6" name="validity_pct" queryTableFieldId="6"/>
    <tableColumn id="7" xr3:uid="{A5C9384B-8B90-DC41-91F3-C7E2BE3E37D3}" uniqueName="7" name="consistency_pct" queryTableFieldId="7"/>
    <tableColumn id="8" xr3:uid="{41F72146-134A-BD44-AFE9-9AE52A94CDB5}" uniqueName="8" name="open_incident_count" queryTableFieldId="8"/>
    <tableColumn id="9" xr3:uid="{F1BEEC28-612B-E94A-9B0C-31D432DA1A6D}" uniqueName="9" name="critical_incident_count" queryTableFieldId="9"/>
    <tableColumn id="10" xr3:uid="{DD1E9C78-29B9-A340-B7F8-D90F935ECB2C}" uniqueName="10" name="high_incident_count" queryTableFieldId="10"/>
    <tableColumn id="11" xr3:uid="{A99B54B7-D6A9-1F41-9B4E-4FD3C51CCABF}" uniqueName="11" name="medium_incident_count" queryTableFieldId="11"/>
    <tableColumn id="12" xr3:uid="{BAEFF0EC-17C4-9741-B6AB-F4C299142EA2}" uniqueName="12" name="market_records" queryTableFieldId="12"/>
    <tableColumn id="13" xr3:uid="{A8EBC8BA-7C13-D144-8D78-ED92CA493707}" uniqueName="13" name="quote_records" queryTableFieldId="13"/>
    <tableColumn id="14" xr3:uid="{1F8C9790-0D49-3547-A058-FC679730E1AE}" uniqueName="14" name="evaluated_records" queryTableFieldId="14"/>
    <tableColumn id="15" xr3:uid="{02C069C5-21ED-6C41-B18D-462C9C263E0F}" uniqueName="15" name="run_id" queryTableFieldId="15" dataDxfId="125"/>
    <tableColumn id="16" xr3:uid="{560F980D-15C2-0A4B-B7C4-D29CA802BDE5}" uniqueName="16" name="notes" queryTableFieldId="16" dataDxfId="12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549B7F-C0D0-E14C-B99C-4D2270BECC69}" name="quality_history" displayName="quality_history" ref="A1:M60" tableType="queryTable" totalsRowShown="0">
  <autoFilter ref="A1:M60" xr:uid="{F2549B7F-C0D0-E14C-B99C-4D2270BECC69}"/>
  <tableColumns count="13">
    <tableColumn id="1" xr3:uid="{75218BBF-263E-6E4B-B748-A020EA4DE4CA}" uniqueName="1" name="ingested_at_utc" queryTableFieldId="1" dataDxfId="2"/>
    <tableColumn id="2" xr3:uid="{23F851F3-CB56-C443-A243-D5D24782ED96}" uniqueName="2" name="overall_score" queryTableFieldId="2"/>
    <tableColumn id="3" xr3:uid="{4FA7170F-0FA3-C34C-A6A8-C981C475A282}" uniqueName="3" name="status" queryTableFieldId="3" dataDxfId="1"/>
    <tableColumn id="4" xr3:uid="{F77EFBAD-3F47-4E4F-AF23-8DC8F78F7AB6}" uniqueName="4" name="completeness_pct" queryTableFieldId="4"/>
    <tableColumn id="5" xr3:uid="{BD013F9B-9F1B-504B-87EB-185FCDD5C1E5}" uniqueName="5" name="timeliness_pct" queryTableFieldId="5"/>
    <tableColumn id="6" xr3:uid="{B8F9FCBB-BF24-8843-BB49-A267B87D07A0}" uniqueName="6" name="validity_pct" queryTableFieldId="6"/>
    <tableColumn id="7" xr3:uid="{541274FD-FA15-7744-B3B6-260F0180E229}" uniqueName="7" name="consistency_pct" queryTableFieldId="7"/>
    <tableColumn id="8" xr3:uid="{5CF18284-8232-DD46-9D09-A604B2C0B166}" uniqueName="8" name="open_incident_count" queryTableFieldId="8"/>
    <tableColumn id="9" xr3:uid="{5B26ACC6-1FF6-CB4A-95FC-9C9680A8C374}" uniqueName="9" name="critical_incident_count" queryTableFieldId="9"/>
    <tableColumn id="10" xr3:uid="{603D068D-8C26-8A4C-BFE4-A6A827BC9B61}" uniqueName="10" name="high_incident_count" queryTableFieldId="10"/>
    <tableColumn id="11" xr3:uid="{718B6F4A-33CD-6A4F-8ABD-4947787144A9}" uniqueName="11" name="medium_incident_count" queryTableFieldId="11"/>
    <tableColumn id="12" xr3:uid="{29D7148B-C013-7743-AD98-A24CB0219558}" uniqueName="12" name="evaluated_records" queryTableFieldId="12"/>
    <tableColumn id="13" xr3:uid="{0E65249B-E50B-0C4F-B54B-66E8DAD7D907}" uniqueName="13" name="run_id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C1E48E-EF53-E848-9481-EF2E6F001D66}">
  <we:reference id="wa200010215" version="2.0.0.1" store="en-US" storeType="OMEX"/>
  <we:alternateReferences>
    <we:reference id="WA200010215" version="2.0.0.1" store="" storeType="OMEX"/>
  </we:alternateReferences>
  <we:properties>
    <we:property name="bps.codex_control.document_id" value="&quot;31fda5b5-967f-40c4-9260-56d96cebc07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1C92-9CD4-0D46-B655-A3A521B9E898}">
  <dimension ref="A1:Z85"/>
  <sheetViews>
    <sheetView showGridLines="0" tabSelected="1" zoomScale="75" workbookViewId="0">
      <pane ySplit="6" topLeftCell="A7" activePane="bottomLeft" state="frozen"/>
      <selection pane="bottomLeft" activeCell="L18" sqref="L18"/>
    </sheetView>
  </sheetViews>
  <sheetFormatPr baseColWidth="10" defaultRowHeight="16" x14ac:dyDescent="0.2"/>
  <cols>
    <col min="1" max="1" width="27.5" style="3" customWidth="1"/>
    <col min="2" max="2" width="3.6640625" style="3" customWidth="1"/>
    <col min="3" max="3" width="14.6640625" style="3" customWidth="1"/>
    <col min="4" max="4" width="27.5" style="3" customWidth="1"/>
    <col min="5" max="5" width="14.6640625" style="3" customWidth="1"/>
    <col min="6" max="6" width="12.33203125" style="3" customWidth="1"/>
    <col min="7" max="7" width="24.1640625" style="3" customWidth="1"/>
    <col min="8" max="8" width="31.6640625" style="3" customWidth="1"/>
    <col min="9" max="9" width="11.33203125" style="3" customWidth="1"/>
    <col min="10" max="10" width="20.83203125" style="3" customWidth="1"/>
    <col min="11" max="11" width="16.6640625" style="3" customWidth="1"/>
    <col min="12" max="12" width="17.6640625" style="3" customWidth="1"/>
    <col min="13" max="13" width="50" style="3" customWidth="1"/>
    <col min="14" max="14" width="3" style="3" customWidth="1"/>
    <col min="15" max="15" width="3" customWidth="1"/>
    <col min="16" max="26" width="0" hidden="1" customWidth="1"/>
  </cols>
  <sheetData>
    <row r="1" spans="1:16" s="77" customFormat="1" ht="24" customHeight="1" x14ac:dyDescent="0.2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3"/>
      <c r="P1" s="130"/>
    </row>
    <row r="2" spans="1:16" s="77" customFormat="1" ht="18" customHeight="1" x14ac:dyDescent="0.2">
      <c r="A2" s="65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102"/>
    </row>
    <row r="3" spans="1:16" s="77" customFormat="1" ht="22" customHeight="1" x14ac:dyDescent="0.2">
      <c r="A3" s="67" t="s">
        <v>104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6"/>
    </row>
    <row r="4" spans="1:16" s="77" customFormat="1" ht="20" customHeight="1" x14ac:dyDescent="0.2">
      <c r="A4" s="68" t="s">
        <v>387</v>
      </c>
      <c r="B4" s="69"/>
      <c r="C4" s="69"/>
      <c r="D4" s="68" t="s">
        <v>388</v>
      </c>
      <c r="E4" s="69"/>
      <c r="F4" s="69"/>
      <c r="G4" s="68" t="s">
        <v>389</v>
      </c>
      <c r="H4" s="69"/>
      <c r="I4" s="69"/>
      <c r="J4" s="68" t="s">
        <v>390</v>
      </c>
      <c r="K4" s="69"/>
      <c r="L4" s="69"/>
      <c r="M4" s="70"/>
      <c r="N4" s="103"/>
    </row>
    <row r="5" spans="1:16" s="77" customFormat="1" ht="26" customHeight="1" x14ac:dyDescent="0.2">
      <c r="A5" s="71">
        <f>MAX(market_overview[market_updated_at_utc])</f>
        <v>46289.735422812497</v>
      </c>
      <c r="B5" s="72"/>
      <c r="C5" s="72"/>
      <c r="D5" s="71">
        <f>MAX(market_overview[quote_updated_at_utc])</f>
        <v>46289.735422812497</v>
      </c>
      <c r="E5" s="72"/>
      <c r="F5" s="72"/>
      <c r="G5" s="75">
        <f>INDEX(quality_score[overall_score],1)</f>
        <v>93.75</v>
      </c>
      <c r="H5" s="72"/>
      <c r="I5" s="72"/>
      <c r="J5" s="73">
        <f>INDEX(quality_score[open_incident_count],1)</f>
        <v>1</v>
      </c>
      <c r="K5" s="72"/>
      <c r="L5" s="72"/>
      <c r="M5" s="74"/>
      <c r="N5" s="104"/>
    </row>
    <row r="6" spans="1:16" s="77" customFormat="1" ht="19" customHeight="1" x14ac:dyDescent="0.2">
      <c r="A6" s="76" t="s">
        <v>3</v>
      </c>
      <c r="B6" s="76"/>
      <c r="C6" s="76" t="s">
        <v>119</v>
      </c>
      <c r="D6" s="76"/>
      <c r="E6" s="76" t="s">
        <v>391</v>
      </c>
      <c r="F6" s="76" t="s">
        <v>392</v>
      </c>
      <c r="H6" s="76" t="s">
        <v>4</v>
      </c>
      <c r="I6" s="76"/>
      <c r="J6" s="76"/>
      <c r="K6" s="76" t="s">
        <v>120</v>
      </c>
      <c r="L6" s="76" t="s">
        <v>59</v>
      </c>
      <c r="M6" s="76" t="s">
        <v>58</v>
      </c>
    </row>
    <row r="7" spans="1:16" s="77" customFormat="1" x14ac:dyDescent="0.2">
      <c r="A7" s="78" t="s">
        <v>5</v>
      </c>
      <c r="B7" s="79"/>
      <c r="C7" s="80">
        <f>_xlfn.XLOOKUP("^GSPC",market_overview[symbol],market_overview[price],"")</f>
        <v>7703.830078125</v>
      </c>
      <c r="D7" s="79"/>
      <c r="E7" s="108">
        <f>_xlfn.XLOOKUP("^GSPC",market_overview[symbol],market_overview[move_bps],"")</f>
        <v>-8.0803267697060477</v>
      </c>
      <c r="F7" s="110" t="str">
        <f>_xlfn.XLOOKUP("^GSPC",market_overview[symbol],market_overview[final_quality_status],"")</f>
        <v>PASS</v>
      </c>
      <c r="H7" s="78" t="s">
        <v>11</v>
      </c>
      <c r="I7" s="79"/>
      <c r="J7" s="79"/>
      <c r="K7" s="81">
        <f>_xlfn.XLOOKUP("Effective Federal Funds Rate",macro[indicator],macro[dashboard_value],"")</f>
        <v>3.88</v>
      </c>
      <c r="L7" s="79" t="str">
        <f>_xlfn.XLOOKUP("Effective Federal Funds Rate",macro[indicator],macro[dashboard_unit],"")</f>
        <v>Percent</v>
      </c>
      <c r="M7" s="82" t="str">
        <f>_xlfn.XLOOKUP("Effective Federal Funds Rate",macro[indicator],macro[source_date],"")</f>
        <v>2026-09-22</v>
      </c>
    </row>
    <row r="8" spans="1:16" s="77" customFormat="1" x14ac:dyDescent="0.2">
      <c r="A8" s="78" t="s">
        <v>6</v>
      </c>
      <c r="B8" s="79"/>
      <c r="C8" s="80">
        <f>_xlfn.XLOOKUP("^IXIC",market_overview[symbol],market_overview[price],"")</f>
        <v>26937.533203125</v>
      </c>
      <c r="D8" s="79"/>
      <c r="E8" s="108">
        <f>_xlfn.XLOOKUP("^IXIC",market_overview[symbol],market_overview[move_bps],"")</f>
        <v>-5.5073992270948668</v>
      </c>
      <c r="F8" s="110" t="str">
        <f>_xlfn.XLOOKUP("^IXIC",market_overview[symbol],market_overview[final_quality_status],"")</f>
        <v>PASS</v>
      </c>
      <c r="H8" s="78" t="s">
        <v>12</v>
      </c>
      <c r="I8" s="79"/>
      <c r="J8" s="79"/>
      <c r="K8" s="81">
        <f>_xlfn.XLOOKUP("US 10Y Treasury Yield",macro[indicator],macro[dashboard_value],"")</f>
        <v>4.96</v>
      </c>
      <c r="L8" s="79" t="str">
        <f>_xlfn.XLOOKUP("US 10Y Treasury Yield",macro[indicator],macro[dashboard_unit],"")</f>
        <v>Percent</v>
      </c>
      <c r="M8" s="82" t="str">
        <f>_xlfn.XLOOKUP("US 10Y Treasury Yield",macro[indicator],macro[source_date],"")</f>
        <v>2026-09-22</v>
      </c>
    </row>
    <row r="9" spans="1:16" s="77" customFormat="1" x14ac:dyDescent="0.2">
      <c r="A9" s="78" t="s">
        <v>7</v>
      </c>
      <c r="B9" s="79"/>
      <c r="C9" s="80">
        <f>_xlfn.XLOOKUP("^N225",market_overview[symbol],market_overview[price],"")</f>
        <v>65647.2734375</v>
      </c>
      <c r="D9" s="79"/>
      <c r="E9" s="108">
        <f>_xlfn.XLOOKUP("^N225",market_overview[symbol],market_overview[move_bps],"")</f>
        <v>0.32490028655463021</v>
      </c>
      <c r="F9" s="110" t="str">
        <f>_xlfn.XLOOKUP("^N225",market_overview[symbol],market_overview[final_quality_status],"")</f>
        <v>PASS</v>
      </c>
      <c r="H9" s="78" t="s">
        <v>13</v>
      </c>
      <c r="I9" s="79"/>
      <c r="J9" s="79"/>
      <c r="K9" s="81">
        <f>_xlfn.XLOOKUP("US CPI",macro[indicator],macro[dashboard_value],"")</f>
        <v>3.7129581058388483</v>
      </c>
      <c r="L9" s="79" t="str">
        <f>_xlfn.XLOOKUP("US CPI",macro[indicator],macro[dashboard_unit],"")</f>
        <v>Percent YoY</v>
      </c>
      <c r="M9" s="82" t="str">
        <f>_xlfn.XLOOKUP("US CPI",macro[indicator],macro[source_date],"")</f>
        <v>2026-08-01</v>
      </c>
    </row>
    <row r="10" spans="1:16" s="77" customFormat="1" x14ac:dyDescent="0.2">
      <c r="A10" s="78" t="s">
        <v>8</v>
      </c>
      <c r="B10" s="79"/>
      <c r="C10" s="80">
        <f>_xlfn.XLOOKUP("JPY=X",market_overview[symbol],market_overview[price],"")</f>
        <v>158.75700378417969</v>
      </c>
      <c r="D10" s="79"/>
      <c r="E10" s="109">
        <f>_xlfn.XLOOKUP("JPY=X",market_overview[symbol],market_overview[move_bps],"")</f>
        <v>-1.3857734879241246</v>
      </c>
      <c r="F10" s="110" t="str">
        <f>_xlfn.XLOOKUP("JPY=X",market_overview[symbol],market_overview[final_quality_status],"")</f>
        <v>PASS</v>
      </c>
      <c r="H10" s="78" t="s">
        <v>14</v>
      </c>
      <c r="I10" s="79"/>
      <c r="J10" s="79"/>
      <c r="K10" s="81">
        <f>_xlfn.XLOOKUP("Japan 10Y Government Bond Yield",macro[indicator],macro[dashboard_value],"")</f>
        <v>2.94</v>
      </c>
      <c r="L10" s="79" t="str">
        <f>_xlfn.XLOOKUP("Japan 10Y Government Bond Yield",macro[indicator],macro[dashboard_unit],"")</f>
        <v>Percent</v>
      </c>
      <c r="M10" s="82" t="str">
        <f>_xlfn.XLOOKUP("Japan 10Y Government Bond Yield",macro[indicator],macro[source_date],"")</f>
        <v>2026-08-01</v>
      </c>
    </row>
    <row r="11" spans="1:16" s="77" customFormat="1" x14ac:dyDescent="0.2">
      <c r="A11" s="78" t="s">
        <v>9</v>
      </c>
      <c r="B11" s="79"/>
      <c r="C11" s="80">
        <f>_xlfn.XLOOKUP("GC=F",market_overview[symbol],market_overview[price],"")</f>
        <v>4310.10009765625</v>
      </c>
      <c r="D11" s="79"/>
      <c r="E11" s="108">
        <f>_xlfn.XLOOKUP("GC=F",market_overview[symbol],market_overview[move_bps],"")</f>
        <v>3.713816075781029</v>
      </c>
      <c r="F11" s="110" t="str">
        <f>_xlfn.XLOOKUP("GC=F",market_overview[symbol],market_overview[final_quality_status],"")</f>
        <v>REVIEW</v>
      </c>
      <c r="H11" s="78" t="s">
        <v>15</v>
      </c>
      <c r="I11" s="79"/>
      <c r="J11" s="79"/>
      <c r="K11" s="81">
        <f>_xlfn.XLOOKUP("Japan Overnight Call / Interbank Rate",macro[indicator],macro[dashboard_value],"")</f>
        <v>0.97699999999999998</v>
      </c>
      <c r="L11" s="79" t="str">
        <f>_xlfn.XLOOKUP("Japan Overnight Call / Interbank Rate",macro[indicator],macro[dashboard_unit],"")</f>
        <v>Percent</v>
      </c>
      <c r="M11" s="82" t="str">
        <f>_xlfn.XLOOKUP("Japan Overnight Call / Interbank Rate",macro[indicator],macro[source_date],"")</f>
        <v>2026-08-01</v>
      </c>
    </row>
    <row r="12" spans="1:16" s="77" customFormat="1" x14ac:dyDescent="0.2">
      <c r="A12" s="78" t="s">
        <v>10</v>
      </c>
      <c r="B12" s="79"/>
      <c r="C12" s="80">
        <f>_xlfn.XLOOKUP("BTC-USD",market_overview[symbol],market_overview[price],"")</f>
        <v>84420.4296875</v>
      </c>
      <c r="D12" s="79"/>
      <c r="E12" s="108">
        <f>_xlfn.XLOOKUP("BTC-USD",market_overview[symbol],market_overview[move_bps],"")</f>
        <v>-6.3795275061862</v>
      </c>
      <c r="F12" s="110" t="str">
        <f>_xlfn.XLOOKUP("BTC-USD",market_overview[symbol],market_overview[final_quality_status],"")</f>
        <v>PASS</v>
      </c>
      <c r="H12" s="78" t="s">
        <v>16</v>
      </c>
      <c r="I12" s="79"/>
      <c r="J12" s="79"/>
      <c r="K12" s="111" t="str">
        <f>_xlfn.LET(_xlpm.v,_xlfn.XLOOKUP("Japan CPI YoY",macro[indicator],macro[dashboard_value],""),_xlpm.u,_xlfn.XLOOKUP("Japan CPI YoY",macro[indicator],macro[dashboard_unit],""),IF(AND(ISNUMBER(_xlpm.v),ISNUMBER(SEARCH("YoY",_xlpm.u)),ABS(_xlpm.v)&lt;=25),_xlpm.v,"N/A"))</f>
        <v>N/A</v>
      </c>
      <c r="L12" s="112" t="str">
        <f>_xlfn.LET(_xlpm.v,_xlfn.XLOOKUP("Japan CPI YoY",macro[indicator],macro[dashboard_value],""),_xlpm.u,_xlfn.XLOOKUP("Japan CPI YoY",macro[indicator],macro[dashboard_unit],""),IF(AND(ISNUMBER(_xlpm.v),ISNUMBER(SEARCH("YoY",_xlpm.u)),ABS(_xlpm.v)&lt;=25),_xlpm.u,"N/A"))</f>
        <v>N/A</v>
      </c>
      <c r="M12" s="122" t="str">
        <f>_xlfn.LET(_xlpm.v,_xlfn.XLOOKUP("Japan CPI YoY",macro[indicator],macro[dashboard_value],""),_xlpm.u,_xlfn.XLOOKUP("Japan CPI YoY",macro[indicator],macro[dashboard_unit],""),_xlpm.d,_xlfn.XLOOKUP("Japan CPI YoY",macro[indicator],macro[source_date],""),IF(AND(ISNUMBER(_xlpm.v),ISNUMBER(SEARCH("YoY",_xlpm.u)),ABS(_xlpm.v)&lt;=25,ISNUMBER(_xlpm.d)),_xlpm.d,"N/A"))</f>
        <v>N/A</v>
      </c>
    </row>
    <row r="13" spans="1:16" s="77" customFormat="1" ht="20" customHeight="1" x14ac:dyDescent="0.2">
      <c r="H13" s="91" t="s">
        <v>393</v>
      </c>
      <c r="I13" s="91"/>
      <c r="J13" s="91"/>
      <c r="K13" s="91"/>
      <c r="L13" s="91"/>
      <c r="M13" s="91"/>
    </row>
    <row r="14" spans="1:16" s="77" customFormat="1" ht="19" customHeight="1" x14ac:dyDescent="0.2">
      <c r="A14" s="76" t="s">
        <v>17</v>
      </c>
      <c r="B14" s="76"/>
      <c r="C14" s="76"/>
      <c r="D14" s="76"/>
      <c r="E14" s="76"/>
      <c r="F14" s="76"/>
      <c r="H14" s="76" t="s">
        <v>18</v>
      </c>
      <c r="I14" s="76"/>
      <c r="J14" s="76"/>
      <c r="K14" s="76"/>
      <c r="L14" s="76"/>
      <c r="M14" s="76"/>
    </row>
    <row r="15" spans="1:16" s="105" customFormat="1" ht="22" customHeight="1" x14ac:dyDescent="0.2">
      <c r="A15" s="83" t="s">
        <v>19</v>
      </c>
      <c r="B15" s="84"/>
      <c r="C15" s="84"/>
      <c r="D15" s="134">
        <f>INDEX(quality_score[overall_score],1)</f>
        <v>93.75</v>
      </c>
      <c r="H15" s="93" t="s">
        <v>26</v>
      </c>
      <c r="I15" s="92" t="s">
        <v>27</v>
      </c>
      <c r="J15" s="92" t="s">
        <v>28</v>
      </c>
      <c r="K15" s="92" t="s">
        <v>29</v>
      </c>
      <c r="L15" s="92" t="s">
        <v>394</v>
      </c>
      <c r="M15" s="94" t="s">
        <v>30</v>
      </c>
    </row>
    <row r="16" spans="1:16" s="77" customFormat="1" x14ac:dyDescent="0.2">
      <c r="A16" s="89" t="s">
        <v>20</v>
      </c>
      <c r="B16" s="90"/>
      <c r="C16" s="90"/>
      <c r="D16" s="135">
        <f>INDEX(quality_score[completeness_pct],1)</f>
        <v>100</v>
      </c>
      <c r="H16" s="120" t="str" cm="1">
        <f t="array" ref="H16:M16">_xlfn.LET(_xlpm.sev,incidents[severity],_xlpm.pri,_xlfn.IFNA(_xlfn.XMATCH(_xlpm.sev,{"CRITICAL","HIGH","MEDIUM"}),99),_xlpm.keep,(incidents[status]="OPEN")*(_xlpm.pri&lt;=3),_xlpm.n,SUM(--_xlpm.keep),IF(_xlpm.n=0,_xlfn.HSTACK("No open incidents","","","","",""),_xlfn.LET(_xlpm.f,_xlfn._xlws.FILTER(_xlfn.HSTACK(_xlpm.sev,incidents[symbol],incidents[name],incidents[issue_type],incidents[first_seen_utc],incidents[details],_xlpm.pri),_xlpm.keep),_xlpm.s,_xlfn.SORTBY(_xlpm.f,_xlfn.CHOOSECOLS(_xlpm.f,7),1,_xlfn.CHOOSECOLS(_xlpm.f,5),1),_xlfn.CHOOSECOLS(_xlpm.s,1,2,3,4,5,6))))</f>
        <v>HIGH</v>
      </c>
      <c r="I16" s="117" t="str">
        <v>GC=F</v>
      </c>
      <c r="J16" s="117" t="str">
        <v>Gold Futures</v>
      </c>
      <c r="K16" s="117" t="str">
        <v>STALE</v>
      </c>
      <c r="L16" s="118">
        <v>46289.717732650461</v>
      </c>
      <c r="M16" s="119" t="str">
        <v>Market data age=44.00885653333333 min; threshold=15.0 min.</v>
      </c>
    </row>
    <row r="17" spans="1:26" s="77" customFormat="1" x14ac:dyDescent="0.2">
      <c r="A17" s="89" t="s">
        <v>21</v>
      </c>
      <c r="B17" s="90"/>
      <c r="C17" s="90"/>
      <c r="D17" s="135">
        <f>INDEX(quality_score[timeliness_pct],1)</f>
        <v>75</v>
      </c>
      <c r="H17" s="121"/>
      <c r="I17" s="98"/>
      <c r="J17" s="98"/>
      <c r="K17" s="98"/>
      <c r="L17" s="99"/>
      <c r="M17" s="100"/>
    </row>
    <row r="18" spans="1:26" s="77" customFormat="1" x14ac:dyDescent="0.2">
      <c r="A18" s="89" t="s">
        <v>22</v>
      </c>
      <c r="B18" s="90"/>
      <c r="C18" s="90"/>
      <c r="D18" s="135">
        <f>INDEX(quality_score[validity_pct],1)</f>
        <v>100</v>
      </c>
      <c r="H18" s="121"/>
      <c r="I18" s="98"/>
      <c r="J18" s="98"/>
      <c r="K18" s="98"/>
      <c r="L18" s="99"/>
      <c r="M18" s="100"/>
    </row>
    <row r="19" spans="1:26" s="77" customFormat="1" x14ac:dyDescent="0.2">
      <c r="A19" s="89" t="s">
        <v>23</v>
      </c>
      <c r="B19" s="90"/>
      <c r="C19" s="90"/>
      <c r="D19" s="136">
        <f>INDEX(quality_score[consistency_pct],1)</f>
        <v>100</v>
      </c>
      <c r="H19" s="121"/>
      <c r="I19" s="98"/>
      <c r="J19" s="98"/>
      <c r="K19" s="98"/>
      <c r="L19" s="99"/>
      <c r="M19" s="100"/>
    </row>
    <row r="20" spans="1:26" s="77" customFormat="1" x14ac:dyDescent="0.2">
      <c r="A20" s="89" t="s">
        <v>24</v>
      </c>
      <c r="B20" s="90"/>
      <c r="C20" s="90"/>
      <c r="D20" s="113">
        <f>INDEX(quality_score[open_incident_count],1)</f>
        <v>1</v>
      </c>
      <c r="H20" s="98"/>
      <c r="I20" s="98"/>
      <c r="J20" s="98"/>
      <c r="K20" s="98"/>
      <c r="L20" s="99"/>
      <c r="M20" s="100"/>
    </row>
    <row r="21" spans="1:26" s="77" customFormat="1" x14ac:dyDescent="0.2">
      <c r="A21" s="89" t="s">
        <v>25</v>
      </c>
      <c r="B21" s="90"/>
      <c r="C21" s="90"/>
      <c r="D21" s="114">
        <f>INDEX(quality_score[critical_incident_count],1)</f>
        <v>0</v>
      </c>
      <c r="H21" s="95"/>
      <c r="I21" s="95"/>
      <c r="J21" s="95"/>
      <c r="K21" s="95"/>
      <c r="L21" s="96"/>
      <c r="M21" s="97"/>
    </row>
    <row r="22" spans="1:26" s="77" customFormat="1" ht="17" x14ac:dyDescent="0.2">
      <c r="A22" s="87" t="s">
        <v>121</v>
      </c>
      <c r="B22" s="88"/>
      <c r="C22" s="88"/>
      <c r="D22" s="115">
        <f>INDEX(quality_score[high_incident_count],1)</f>
        <v>1</v>
      </c>
      <c r="F22" s="106"/>
      <c r="L22" s="131"/>
      <c r="M22" s="105"/>
    </row>
    <row r="23" spans="1:26" s="77" customFormat="1" x14ac:dyDescent="0.2">
      <c r="A23" s="85" t="s">
        <v>122</v>
      </c>
      <c r="B23" s="86"/>
      <c r="C23" s="86"/>
      <c r="D23" s="116">
        <f>INDEX(quality_score[medium_incident_count],1)</f>
        <v>0</v>
      </c>
      <c r="L23" s="131"/>
      <c r="M23" s="105"/>
    </row>
    <row r="24" spans="1:26" s="77" customFormat="1" ht="19" customHeight="1" x14ac:dyDescent="0.2">
      <c r="A24" s="76" t="s">
        <v>31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132"/>
      <c r="M24" s="76"/>
    </row>
    <row r="25" spans="1:26" s="77" customFormat="1" ht="18" customHeight="1" x14ac:dyDescent="0.2">
      <c r="A25" s="101" t="s">
        <v>19</v>
      </c>
      <c r="B25" s="101"/>
      <c r="C25" s="101"/>
      <c r="D25" s="101"/>
      <c r="E25" s="101" t="s">
        <v>123</v>
      </c>
      <c r="F25" s="101"/>
      <c r="G25" s="101"/>
      <c r="H25" s="101"/>
      <c r="I25" s="101"/>
      <c r="J25" s="101" t="s">
        <v>2</v>
      </c>
      <c r="K25" s="101"/>
      <c r="L25" s="101"/>
      <c r="M25" s="101"/>
      <c r="N25" s="107"/>
      <c r="P25" s="77" t="s">
        <v>272</v>
      </c>
      <c r="Q25" s="77" t="s">
        <v>317</v>
      </c>
      <c r="S25" s="77" t="s">
        <v>272</v>
      </c>
      <c r="T25" s="77" t="s">
        <v>318</v>
      </c>
      <c r="U25" s="77" t="s">
        <v>319</v>
      </c>
      <c r="V25" s="77" t="s">
        <v>320</v>
      </c>
      <c r="W25" s="77" t="s">
        <v>321</v>
      </c>
      <c r="Y25" s="77" t="s">
        <v>272</v>
      </c>
      <c r="Z25" s="77" t="s">
        <v>322</v>
      </c>
    </row>
    <row r="26" spans="1:26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P26" s="62" t="str" cm="1">
        <f t="array" ref="P26:P84">TEXT(_xlfn.LET(_xlpm.x,quality_history[ingested_at_utc],_xlfn.TAKE(_xlpm.x,-MIN(ROWS(_xlpm.x),5000))),"m/d hh:mm")</f>
        <v>9/24 10:02</v>
      </c>
      <c r="Q26" s="123" cm="1">
        <f t="array" ref="Q26:Q84">_xlfn.LET(_xlpm.x,quality_history[overall_score],_xlfn.TAKE(_xlpm.x,-MIN(ROWS(_xlpm.x),5000)))</f>
        <v>94.62</v>
      </c>
      <c r="S26" s="62" t="str" cm="1">
        <f t="array" ref="S26:S84">TEXT(_xlfn.LET(_xlpm.x,quality_history[ingested_at_utc],_xlfn.TAKE(_xlpm.x,-MIN(ROWS(_xlpm.x),5000))),"m/d hh:mm")</f>
        <v>9/24 10:02</v>
      </c>
      <c r="T26" s="123" cm="1">
        <f t="array" ref="T26:T84">_xlfn.LET(_xlpm.x,quality_history[completeness_pct],_xlfn.TAKE(_xlpm.x,-MIN(ROWS(_xlpm.x),5000)))</f>
        <v>100</v>
      </c>
      <c r="U26" s="123" cm="1">
        <f t="array" ref="U26:U84">_xlfn.LET(_xlpm.x,quality_history[timeliness_pct],_xlfn.TAKE(_xlpm.x,-MIN(ROWS(_xlpm.x),5000)))</f>
        <v>97.3</v>
      </c>
      <c r="V26" s="123" cm="1">
        <f t="array" ref="V26:V84">_xlfn.LET(_xlpm.x,quality_history[validity_pct],_xlfn.TAKE(_xlpm.x,-MIN(ROWS(_xlpm.x),5000)))</f>
        <v>100</v>
      </c>
      <c r="W26" s="123" cm="1">
        <f t="array" ref="W26:W84">_xlfn.LET(_xlpm.x,quality_history[consistency_pct],_xlfn.TAKE(_xlpm.x,-MIN(ROWS(_xlpm.x),5000)))</f>
        <v>76.47</v>
      </c>
      <c r="Y26" s="62" t="str" cm="1">
        <f t="array" ref="Y26:Y84">TEXT(_xlfn.LET(_xlpm.x,quality_history[ingested_at_utc],_xlfn.TAKE(_xlpm.x,-MIN(ROWS(_xlpm.x),5000))),"m/d hh:mm")</f>
        <v>9/24 10:02</v>
      </c>
      <c r="Z26" s="124" cm="1">
        <f t="array" ref="Z26:Z84">_xlfn.LET(_xlpm.x,quality_history[open_incident_count],_xlfn.TAKE(_xlpm.x,-MIN(ROWS(_xlpm.x),5000)))</f>
        <v>5</v>
      </c>
    </row>
    <row r="27" spans="1:26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P27" s="62" t="str">
        <v>9/24 10:02</v>
      </c>
      <c r="Q27" s="123">
        <v>93.44</v>
      </c>
      <c r="S27" s="62" t="str">
        <v>9/24 10:02</v>
      </c>
      <c r="T27" s="123">
        <v>100</v>
      </c>
      <c r="U27" s="123">
        <v>97.3</v>
      </c>
      <c r="V27" s="123">
        <v>100</v>
      </c>
      <c r="W27" s="123">
        <v>70.59</v>
      </c>
      <c r="Y27" s="62" t="str">
        <v>9/24 10:02</v>
      </c>
      <c r="Z27" s="124">
        <v>6</v>
      </c>
    </row>
    <row r="28" spans="1:26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P28" s="62" t="str">
        <v>9/24 10:07</v>
      </c>
      <c r="Q28" s="123">
        <v>95.8</v>
      </c>
      <c r="S28" s="62" t="str">
        <v>9/24 10:07</v>
      </c>
      <c r="T28" s="123">
        <v>100</v>
      </c>
      <c r="U28" s="123">
        <v>97.3</v>
      </c>
      <c r="V28" s="123">
        <v>100</v>
      </c>
      <c r="W28" s="123">
        <v>82.35</v>
      </c>
      <c r="Y28" s="62" t="str">
        <v>9/24 10:07</v>
      </c>
      <c r="Z28" s="124">
        <v>4</v>
      </c>
    </row>
    <row r="29" spans="1:26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P29" s="62" t="str">
        <v>9/24 10:12</v>
      </c>
      <c r="Q29" s="123">
        <v>95.8</v>
      </c>
      <c r="S29" s="62" t="str">
        <v>9/24 10:12</v>
      </c>
      <c r="T29" s="123">
        <v>100</v>
      </c>
      <c r="U29" s="123">
        <v>97.3</v>
      </c>
      <c r="V29" s="123">
        <v>100</v>
      </c>
      <c r="W29" s="123">
        <v>82.35</v>
      </c>
      <c r="Y29" s="62" t="str">
        <v>9/24 10:12</v>
      </c>
      <c r="Z29" s="124">
        <v>4</v>
      </c>
    </row>
    <row r="30" spans="1:26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P30" s="62" t="str">
        <v>9/24 10:12</v>
      </c>
      <c r="Q30" s="123">
        <v>95.8</v>
      </c>
      <c r="S30" s="62" t="str">
        <v>9/24 10:12</v>
      </c>
      <c r="T30" s="123">
        <v>100</v>
      </c>
      <c r="U30" s="123">
        <v>97.3</v>
      </c>
      <c r="V30" s="123">
        <v>100</v>
      </c>
      <c r="W30" s="123">
        <v>82.35</v>
      </c>
      <c r="Y30" s="62" t="str">
        <v>9/24 10:12</v>
      </c>
      <c r="Z30" s="124">
        <v>4</v>
      </c>
    </row>
    <row r="31" spans="1:26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P31" s="62" t="str">
        <v>9/24 10:17</v>
      </c>
      <c r="Q31" s="123">
        <v>95.8</v>
      </c>
      <c r="S31" s="62" t="str">
        <v>9/24 10:17</v>
      </c>
      <c r="T31" s="123">
        <v>100</v>
      </c>
      <c r="U31" s="123">
        <v>97.3</v>
      </c>
      <c r="V31" s="123">
        <v>100</v>
      </c>
      <c r="W31" s="123">
        <v>82.35</v>
      </c>
      <c r="Y31" s="62" t="str">
        <v>9/24 10:17</v>
      </c>
      <c r="Z31" s="124">
        <v>4</v>
      </c>
    </row>
    <row r="32" spans="1:26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P32" s="62" t="str">
        <v>9/24 10:22</v>
      </c>
      <c r="Q32" s="123">
        <v>94.62</v>
      </c>
      <c r="S32" s="62" t="str">
        <v>9/24 10:22</v>
      </c>
      <c r="T32" s="123">
        <v>100</v>
      </c>
      <c r="U32" s="123">
        <v>97.3</v>
      </c>
      <c r="V32" s="123">
        <v>100</v>
      </c>
      <c r="W32" s="123">
        <v>76.47</v>
      </c>
      <c r="Y32" s="62" t="str">
        <v>9/24 10:22</v>
      </c>
      <c r="Z32" s="124">
        <v>5</v>
      </c>
    </row>
    <row r="33" spans="1:26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P33" s="62" t="str">
        <v>9/24 10:27</v>
      </c>
      <c r="Q33" s="123">
        <v>95.8</v>
      </c>
      <c r="S33" s="62" t="str">
        <v>9/24 10:27</v>
      </c>
      <c r="T33" s="123">
        <v>100</v>
      </c>
      <c r="U33" s="123">
        <v>97.3</v>
      </c>
      <c r="V33" s="123">
        <v>100</v>
      </c>
      <c r="W33" s="123">
        <v>82.35</v>
      </c>
      <c r="Y33" s="62" t="str">
        <v>9/24 10:27</v>
      </c>
      <c r="Z33" s="124">
        <v>4</v>
      </c>
    </row>
    <row r="34" spans="1:26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P34" s="62" t="str">
        <v>9/24 10:32</v>
      </c>
      <c r="Q34" s="123">
        <v>95.8</v>
      </c>
      <c r="S34" s="62" t="str">
        <v>9/24 10:32</v>
      </c>
      <c r="T34" s="123">
        <v>100</v>
      </c>
      <c r="U34" s="123">
        <v>97.3</v>
      </c>
      <c r="V34" s="123">
        <v>100</v>
      </c>
      <c r="W34" s="123">
        <v>82.35</v>
      </c>
      <c r="Y34" s="62" t="str">
        <v>9/24 10:32</v>
      </c>
      <c r="Z34" s="124">
        <v>4</v>
      </c>
    </row>
    <row r="35" spans="1:26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P35" s="62" t="str">
        <v>9/24 10:37</v>
      </c>
      <c r="Q35" s="123">
        <v>94.62</v>
      </c>
      <c r="S35" s="62" t="str">
        <v>9/24 10:37</v>
      </c>
      <c r="T35" s="123">
        <v>100</v>
      </c>
      <c r="U35" s="123">
        <v>97.3</v>
      </c>
      <c r="V35" s="123">
        <v>100</v>
      </c>
      <c r="W35" s="123">
        <v>76.47</v>
      </c>
      <c r="Y35" s="62" t="str">
        <v>9/24 10:37</v>
      </c>
      <c r="Z35" s="124">
        <v>5</v>
      </c>
    </row>
    <row r="36" spans="1:26" x14ac:dyDescent="0.2">
      <c r="P36" s="62" t="str">
        <v>9/24 10:44</v>
      </c>
      <c r="Q36" s="123">
        <v>96.97</v>
      </c>
      <c r="S36" s="62" t="str">
        <v>9/24 10:44</v>
      </c>
      <c r="T36" s="123">
        <v>100</v>
      </c>
      <c r="U36" s="123">
        <v>97.3</v>
      </c>
      <c r="V36" s="123">
        <v>100</v>
      </c>
      <c r="W36" s="123">
        <v>88.24</v>
      </c>
      <c r="Y36" s="62" t="str">
        <v>9/24 10:44</v>
      </c>
      <c r="Z36" s="124">
        <v>3</v>
      </c>
    </row>
    <row r="37" spans="1:26" x14ac:dyDescent="0.2">
      <c r="P37" s="62" t="str">
        <v>9/24 11:51</v>
      </c>
      <c r="Q37" s="123">
        <v>98.15</v>
      </c>
      <c r="S37" s="62" t="str">
        <v>9/24 11:51</v>
      </c>
      <c r="T37" s="123">
        <v>100</v>
      </c>
      <c r="U37" s="123">
        <v>97.3</v>
      </c>
      <c r="V37" s="123">
        <v>100</v>
      </c>
      <c r="W37" s="123">
        <v>94.12</v>
      </c>
      <c r="Y37" s="62" t="str">
        <v>9/24 11:51</v>
      </c>
      <c r="Z37" s="124">
        <v>2</v>
      </c>
    </row>
    <row r="38" spans="1:26" x14ac:dyDescent="0.2">
      <c r="P38" s="62" t="str">
        <v>9/24 11:56</v>
      </c>
      <c r="Q38" s="123">
        <v>95.8</v>
      </c>
      <c r="S38" s="62" t="str">
        <v>9/24 11:56</v>
      </c>
      <c r="T38" s="123">
        <v>100</v>
      </c>
      <c r="U38" s="123">
        <v>97.3</v>
      </c>
      <c r="V38" s="123">
        <v>100</v>
      </c>
      <c r="W38" s="123">
        <v>82.35</v>
      </c>
      <c r="Y38" s="62" t="str">
        <v>9/24 11:56</v>
      </c>
      <c r="Z38" s="124">
        <v>4</v>
      </c>
    </row>
    <row r="39" spans="1:26" x14ac:dyDescent="0.2">
      <c r="P39" s="62" t="str">
        <v>9/24 12:01</v>
      </c>
      <c r="Q39" s="123">
        <v>96.97</v>
      </c>
      <c r="S39" s="62" t="str">
        <v>9/24 12:01</v>
      </c>
      <c r="T39" s="123">
        <v>100</v>
      </c>
      <c r="U39" s="123">
        <v>97.3</v>
      </c>
      <c r="V39" s="123">
        <v>100</v>
      </c>
      <c r="W39" s="123">
        <v>88.24</v>
      </c>
      <c r="Y39" s="62" t="str">
        <v>9/24 12:01</v>
      </c>
      <c r="Z39" s="124">
        <v>3</v>
      </c>
    </row>
    <row r="40" spans="1:26" x14ac:dyDescent="0.2">
      <c r="P40" s="62" t="str">
        <v>9/24 12:06</v>
      </c>
      <c r="Q40" s="123">
        <v>94.62</v>
      </c>
      <c r="S40" s="62" t="str">
        <v>9/24 12:06</v>
      </c>
      <c r="T40" s="123">
        <v>100</v>
      </c>
      <c r="U40" s="123">
        <v>97.3</v>
      </c>
      <c r="V40" s="123">
        <v>100</v>
      </c>
      <c r="W40" s="123">
        <v>76.47</v>
      </c>
      <c r="Y40" s="62" t="str">
        <v>9/24 12:06</v>
      </c>
      <c r="Z40" s="124">
        <v>5</v>
      </c>
    </row>
    <row r="41" spans="1:26" x14ac:dyDescent="0.2">
      <c r="P41" s="62" t="str">
        <v>9/24 12:11</v>
      </c>
      <c r="Q41" s="123">
        <v>95.8</v>
      </c>
      <c r="S41" s="62" t="str">
        <v>9/24 12:11</v>
      </c>
      <c r="T41" s="123">
        <v>100</v>
      </c>
      <c r="U41" s="123">
        <v>97.3</v>
      </c>
      <c r="V41" s="123">
        <v>100</v>
      </c>
      <c r="W41" s="123">
        <v>82.35</v>
      </c>
      <c r="Y41" s="62" t="str">
        <v>9/24 12:11</v>
      </c>
      <c r="Z41" s="124">
        <v>4</v>
      </c>
    </row>
    <row r="42" spans="1:26" x14ac:dyDescent="0.2">
      <c r="P42" s="62" t="str">
        <v>9/24 12:16</v>
      </c>
      <c r="Q42" s="123">
        <v>92.42</v>
      </c>
      <c r="S42" s="62" t="str">
        <v>9/24 12:16</v>
      </c>
      <c r="T42" s="123">
        <v>100</v>
      </c>
      <c r="U42" s="123">
        <v>97.3</v>
      </c>
      <c r="V42" s="123">
        <v>86.49</v>
      </c>
      <c r="W42" s="123">
        <v>82.35</v>
      </c>
      <c r="Y42" s="62" t="str">
        <v>9/24 12:16</v>
      </c>
      <c r="Z42" s="124">
        <v>9</v>
      </c>
    </row>
    <row r="43" spans="1:26" x14ac:dyDescent="0.2">
      <c r="P43" s="62" t="str">
        <v>9/24 12:21</v>
      </c>
      <c r="Q43" s="123">
        <v>93.44</v>
      </c>
      <c r="S43" s="62" t="str">
        <v>9/24 12:21</v>
      </c>
      <c r="T43" s="123">
        <v>100</v>
      </c>
      <c r="U43" s="123">
        <v>97.3</v>
      </c>
      <c r="V43" s="123">
        <v>100</v>
      </c>
      <c r="W43" s="123">
        <v>70.59</v>
      </c>
      <c r="Y43" s="62" t="str">
        <v>9/24 12:21</v>
      </c>
      <c r="Z43" s="124">
        <v>6</v>
      </c>
    </row>
    <row r="44" spans="1:26" x14ac:dyDescent="0.2">
      <c r="P44" s="62" t="str">
        <v>9/24 12:26</v>
      </c>
      <c r="Q44" s="123">
        <v>92.77</v>
      </c>
      <c r="S44" s="62" t="str">
        <v>9/24 12:26</v>
      </c>
      <c r="T44" s="123">
        <v>100</v>
      </c>
      <c r="U44" s="123">
        <v>97.3</v>
      </c>
      <c r="V44" s="123">
        <v>97.3</v>
      </c>
      <c r="W44" s="123">
        <v>70.59</v>
      </c>
      <c r="Y44" s="62" t="str">
        <v>9/24 12:26</v>
      </c>
      <c r="Z44" s="124">
        <v>7</v>
      </c>
    </row>
    <row r="45" spans="1:26" x14ac:dyDescent="0.2">
      <c r="P45" s="62" t="str">
        <v>9/24 12:31</v>
      </c>
      <c r="Q45" s="123">
        <v>93.44</v>
      </c>
      <c r="S45" s="62" t="str">
        <v>9/24 12:31</v>
      </c>
      <c r="T45" s="123">
        <v>100</v>
      </c>
      <c r="U45" s="123">
        <v>97.3</v>
      </c>
      <c r="V45" s="123">
        <v>100</v>
      </c>
      <c r="W45" s="123">
        <v>70.59</v>
      </c>
      <c r="Y45" s="62" t="str">
        <v>9/24 12:31</v>
      </c>
      <c r="Z45" s="124">
        <v>6</v>
      </c>
    </row>
    <row r="46" spans="1:26" x14ac:dyDescent="0.2">
      <c r="P46" s="62" t="str">
        <v>9/24 12:36</v>
      </c>
      <c r="Q46">
        <v>95.8</v>
      </c>
      <c r="S46" s="62" t="str">
        <v>9/24 12:36</v>
      </c>
      <c r="T46">
        <v>100</v>
      </c>
      <c r="U46">
        <v>97.3</v>
      </c>
      <c r="V46">
        <v>100</v>
      </c>
      <c r="W46">
        <v>82.35</v>
      </c>
      <c r="Y46" s="62" t="str">
        <v>9/24 12:36</v>
      </c>
      <c r="Z46">
        <v>4</v>
      </c>
    </row>
    <row r="47" spans="1:26" x14ac:dyDescent="0.2">
      <c r="P47" s="62" t="str">
        <v>9/24 12:41</v>
      </c>
      <c r="Q47">
        <v>94.62</v>
      </c>
      <c r="S47" s="62" t="str">
        <v>9/24 12:41</v>
      </c>
      <c r="T47">
        <v>100</v>
      </c>
      <c r="U47">
        <v>97.3</v>
      </c>
      <c r="V47">
        <v>100</v>
      </c>
      <c r="W47">
        <v>76.47</v>
      </c>
      <c r="Y47" s="62" t="str">
        <v>9/24 12:41</v>
      </c>
      <c r="Z47">
        <v>5</v>
      </c>
    </row>
    <row r="48" spans="1:26" x14ac:dyDescent="0.2">
      <c r="P48" s="62" t="str">
        <v>9/24 12:46</v>
      </c>
      <c r="Q48">
        <v>94.62</v>
      </c>
      <c r="S48" s="62" t="str">
        <v>9/24 12:46</v>
      </c>
      <c r="T48">
        <v>100</v>
      </c>
      <c r="U48">
        <v>97.3</v>
      </c>
      <c r="V48">
        <v>100</v>
      </c>
      <c r="W48">
        <v>76.47</v>
      </c>
      <c r="Y48" s="62" t="str">
        <v>9/24 12:46</v>
      </c>
      <c r="Z48">
        <v>5</v>
      </c>
    </row>
    <row r="49" spans="16:26" x14ac:dyDescent="0.2">
      <c r="P49" s="62" t="str">
        <v>9/24 12:51</v>
      </c>
      <c r="Q49">
        <v>96.97</v>
      </c>
      <c r="S49" s="62" t="str">
        <v>9/24 12:51</v>
      </c>
      <c r="T49">
        <v>100</v>
      </c>
      <c r="U49">
        <v>97.3</v>
      </c>
      <c r="V49">
        <v>100</v>
      </c>
      <c r="W49">
        <v>88.24</v>
      </c>
      <c r="Y49" s="62" t="str">
        <v>9/24 12:51</v>
      </c>
      <c r="Z49">
        <v>3</v>
      </c>
    </row>
    <row r="50" spans="16:26" x14ac:dyDescent="0.2">
      <c r="P50" s="62" t="str">
        <v>9/24 12:56</v>
      </c>
      <c r="Q50">
        <v>96.97</v>
      </c>
      <c r="S50" s="62" t="str">
        <v>9/24 12:56</v>
      </c>
      <c r="T50">
        <v>100</v>
      </c>
      <c r="U50">
        <v>97.3</v>
      </c>
      <c r="V50">
        <v>100</v>
      </c>
      <c r="W50">
        <v>88.24</v>
      </c>
      <c r="Y50" s="62" t="str">
        <v>9/24 12:56</v>
      </c>
      <c r="Z50">
        <v>3</v>
      </c>
    </row>
    <row r="51" spans="16:26" x14ac:dyDescent="0.2">
      <c r="P51" s="62" t="str">
        <v>9/24 13:02</v>
      </c>
      <c r="Q51">
        <v>92.27</v>
      </c>
      <c r="S51" s="62" t="str">
        <v>9/24 13:02</v>
      </c>
      <c r="T51">
        <v>100</v>
      </c>
      <c r="U51">
        <v>97.3</v>
      </c>
      <c r="V51">
        <v>100</v>
      </c>
      <c r="W51">
        <v>64.709999999999994</v>
      </c>
      <c r="Y51" s="62" t="str">
        <v>9/24 13:02</v>
      </c>
      <c r="Z51">
        <v>7</v>
      </c>
    </row>
    <row r="52" spans="16:26" x14ac:dyDescent="0.2">
      <c r="P52" s="62" t="str">
        <v>9/24 13:07</v>
      </c>
      <c r="Q52">
        <v>95.8</v>
      </c>
      <c r="S52" s="62" t="str">
        <v>9/24 13:07</v>
      </c>
      <c r="T52">
        <v>100</v>
      </c>
      <c r="U52">
        <v>97.3</v>
      </c>
      <c r="V52">
        <v>100</v>
      </c>
      <c r="W52">
        <v>82.35</v>
      </c>
      <c r="Y52" s="62" t="str">
        <v>9/24 13:07</v>
      </c>
      <c r="Z52">
        <v>4</v>
      </c>
    </row>
    <row r="53" spans="16:26" x14ac:dyDescent="0.2">
      <c r="P53" s="62" t="str">
        <v>9/24 13:12</v>
      </c>
      <c r="Q53">
        <v>96.97</v>
      </c>
      <c r="S53" s="62" t="str">
        <v>9/24 13:12</v>
      </c>
      <c r="T53">
        <v>100</v>
      </c>
      <c r="U53">
        <v>97.3</v>
      </c>
      <c r="V53">
        <v>100</v>
      </c>
      <c r="W53">
        <v>88.24</v>
      </c>
      <c r="Y53" s="62" t="str">
        <v>9/24 13:12</v>
      </c>
      <c r="Z53">
        <v>3</v>
      </c>
    </row>
    <row r="54" spans="16:26" x14ac:dyDescent="0.2">
      <c r="P54" s="62" t="str">
        <v>9/24 13:17</v>
      </c>
      <c r="Q54">
        <v>94.62</v>
      </c>
      <c r="S54" s="62" t="str">
        <v>9/24 13:17</v>
      </c>
      <c r="T54">
        <v>100</v>
      </c>
      <c r="U54">
        <v>97.3</v>
      </c>
      <c r="V54">
        <v>100</v>
      </c>
      <c r="W54">
        <v>76.47</v>
      </c>
      <c r="Y54" s="62" t="str">
        <v>9/24 13:17</v>
      </c>
      <c r="Z54">
        <v>5</v>
      </c>
    </row>
    <row r="55" spans="16:26" x14ac:dyDescent="0.2">
      <c r="P55" s="62" t="str">
        <v>9/24 13:22</v>
      </c>
      <c r="Q55">
        <v>94.62</v>
      </c>
      <c r="S55" s="62" t="str">
        <v>9/24 13:22</v>
      </c>
      <c r="T55">
        <v>100</v>
      </c>
      <c r="U55">
        <v>97.3</v>
      </c>
      <c r="V55">
        <v>100</v>
      </c>
      <c r="W55">
        <v>76.47</v>
      </c>
      <c r="Y55" s="62" t="str">
        <v>9/24 13:22</v>
      </c>
      <c r="Z55">
        <v>5</v>
      </c>
    </row>
    <row r="56" spans="16:26" x14ac:dyDescent="0.2">
      <c r="P56" s="62" t="str">
        <v>9/24 13:27</v>
      </c>
      <c r="Q56">
        <v>95.8</v>
      </c>
      <c r="S56" s="62" t="str">
        <v>9/24 13:27</v>
      </c>
      <c r="T56">
        <v>100</v>
      </c>
      <c r="U56">
        <v>97.3</v>
      </c>
      <c r="V56">
        <v>100</v>
      </c>
      <c r="W56">
        <v>82.35</v>
      </c>
      <c r="Y56" s="62" t="str">
        <v>9/24 13:27</v>
      </c>
      <c r="Z56">
        <v>4</v>
      </c>
    </row>
    <row r="57" spans="16:26" x14ac:dyDescent="0.2">
      <c r="P57" s="62" t="str">
        <v>9/24 13:32</v>
      </c>
      <c r="Q57">
        <v>95.8</v>
      </c>
      <c r="S57" s="62" t="str">
        <v>9/24 13:32</v>
      </c>
      <c r="T57">
        <v>100</v>
      </c>
      <c r="U57">
        <v>97.3</v>
      </c>
      <c r="V57">
        <v>100</v>
      </c>
      <c r="W57">
        <v>82.35</v>
      </c>
      <c r="Y57" s="62" t="str">
        <v>9/24 13:32</v>
      </c>
      <c r="Z57">
        <v>4</v>
      </c>
    </row>
    <row r="58" spans="16:26" x14ac:dyDescent="0.2">
      <c r="P58" s="62" t="str">
        <v>9/24 13:37</v>
      </c>
      <c r="Q58">
        <v>93.44</v>
      </c>
      <c r="S58" s="62" t="str">
        <v>9/24 13:37</v>
      </c>
      <c r="T58">
        <v>100</v>
      </c>
      <c r="U58">
        <v>97.3</v>
      </c>
      <c r="V58">
        <v>100</v>
      </c>
      <c r="W58">
        <v>70.59</v>
      </c>
      <c r="Y58" s="62" t="str">
        <v>9/24 13:37</v>
      </c>
      <c r="Z58">
        <v>6</v>
      </c>
    </row>
    <row r="59" spans="16:26" x14ac:dyDescent="0.2">
      <c r="P59" s="62" t="str">
        <v>9/24 13:42</v>
      </c>
      <c r="Q59">
        <v>94.62</v>
      </c>
      <c r="S59" s="62" t="str">
        <v>9/24 13:42</v>
      </c>
      <c r="T59">
        <v>100</v>
      </c>
      <c r="U59">
        <v>97.3</v>
      </c>
      <c r="V59">
        <v>100</v>
      </c>
      <c r="W59">
        <v>76.47</v>
      </c>
      <c r="Y59" s="62" t="str">
        <v>9/24 13:42</v>
      </c>
      <c r="Z59">
        <v>5</v>
      </c>
    </row>
    <row r="60" spans="16:26" x14ac:dyDescent="0.2">
      <c r="P60" s="62" t="str">
        <v>9/24 13:47</v>
      </c>
      <c r="Q60">
        <v>94.62</v>
      </c>
      <c r="S60" s="62" t="str">
        <v>9/24 13:47</v>
      </c>
      <c r="T60">
        <v>100</v>
      </c>
      <c r="U60">
        <v>97.3</v>
      </c>
      <c r="V60">
        <v>100</v>
      </c>
      <c r="W60">
        <v>76.47</v>
      </c>
      <c r="Y60" s="62" t="str">
        <v>9/24 13:47</v>
      </c>
      <c r="Z60">
        <v>5</v>
      </c>
    </row>
    <row r="61" spans="16:26" x14ac:dyDescent="0.2">
      <c r="P61" s="62" t="str">
        <v>9/24 13:52</v>
      </c>
      <c r="Q61">
        <v>95.8</v>
      </c>
      <c r="S61" s="62" t="str">
        <v>9/24 13:52</v>
      </c>
      <c r="T61">
        <v>100</v>
      </c>
      <c r="U61">
        <v>97.3</v>
      </c>
      <c r="V61">
        <v>100</v>
      </c>
      <c r="W61">
        <v>82.35</v>
      </c>
      <c r="Y61" s="62" t="str">
        <v>9/24 13:52</v>
      </c>
      <c r="Z61">
        <v>4</v>
      </c>
    </row>
    <row r="62" spans="16:26" x14ac:dyDescent="0.2">
      <c r="P62" s="62" t="str">
        <v>9/24 13:57</v>
      </c>
      <c r="Q62">
        <v>94.62</v>
      </c>
      <c r="S62" s="62" t="str">
        <v>9/24 13:57</v>
      </c>
      <c r="T62">
        <v>100</v>
      </c>
      <c r="U62">
        <v>97.3</v>
      </c>
      <c r="V62">
        <v>100</v>
      </c>
      <c r="W62">
        <v>76.47</v>
      </c>
      <c r="Y62" s="62" t="str">
        <v>9/24 13:57</v>
      </c>
      <c r="Z62">
        <v>5</v>
      </c>
    </row>
    <row r="63" spans="16:26" x14ac:dyDescent="0.2">
      <c r="P63" s="62" t="str">
        <v>9/24 14:02</v>
      </c>
      <c r="Q63">
        <v>95.8</v>
      </c>
      <c r="S63" s="62" t="str">
        <v>9/24 14:02</v>
      </c>
      <c r="T63">
        <v>100</v>
      </c>
      <c r="U63">
        <v>97.3</v>
      </c>
      <c r="V63">
        <v>100</v>
      </c>
      <c r="W63">
        <v>82.35</v>
      </c>
      <c r="Y63" s="62" t="str">
        <v>9/24 14:02</v>
      </c>
      <c r="Z63">
        <v>4</v>
      </c>
    </row>
    <row r="64" spans="16:26" x14ac:dyDescent="0.2">
      <c r="P64" s="62" t="str">
        <v>9/24 14:07</v>
      </c>
      <c r="Q64">
        <v>95.8</v>
      </c>
      <c r="S64" s="62" t="str">
        <v>9/24 14:07</v>
      </c>
      <c r="T64">
        <v>100</v>
      </c>
      <c r="U64">
        <v>97.3</v>
      </c>
      <c r="V64">
        <v>100</v>
      </c>
      <c r="W64">
        <v>82.35</v>
      </c>
      <c r="Y64" s="62" t="str">
        <v>9/24 14:07</v>
      </c>
      <c r="Z64">
        <v>4</v>
      </c>
    </row>
    <row r="65" spans="16:26" x14ac:dyDescent="0.2">
      <c r="P65" s="62" t="str">
        <v>9/24 14:13</v>
      </c>
      <c r="Q65">
        <v>94.62</v>
      </c>
      <c r="S65" s="62" t="str">
        <v>9/24 14:13</v>
      </c>
      <c r="T65">
        <v>100</v>
      </c>
      <c r="U65">
        <v>97.3</v>
      </c>
      <c r="V65">
        <v>100</v>
      </c>
      <c r="W65">
        <v>76.47</v>
      </c>
      <c r="Y65" s="62" t="str">
        <v>9/24 14:13</v>
      </c>
      <c r="Z65">
        <v>5</v>
      </c>
    </row>
    <row r="66" spans="16:26" x14ac:dyDescent="0.2">
      <c r="P66" s="62" t="str">
        <v>9/24 14:18</v>
      </c>
      <c r="Q66">
        <v>95.8</v>
      </c>
      <c r="S66" s="62" t="str">
        <v>9/24 14:18</v>
      </c>
      <c r="T66">
        <v>100</v>
      </c>
      <c r="U66">
        <v>97.3</v>
      </c>
      <c r="V66">
        <v>100</v>
      </c>
      <c r="W66">
        <v>82.35</v>
      </c>
      <c r="Y66" s="62" t="str">
        <v>9/24 14:18</v>
      </c>
      <c r="Z66">
        <v>4</v>
      </c>
    </row>
    <row r="67" spans="16:26" x14ac:dyDescent="0.2">
      <c r="P67" s="62" t="str">
        <v>9/24 14:23</v>
      </c>
      <c r="Q67">
        <v>94.62</v>
      </c>
      <c r="S67" s="62" t="str">
        <v>9/24 14:23</v>
      </c>
      <c r="T67">
        <v>100</v>
      </c>
      <c r="U67">
        <v>97.3</v>
      </c>
      <c r="V67">
        <v>100</v>
      </c>
      <c r="W67">
        <v>76.47</v>
      </c>
      <c r="Y67" s="62" t="str">
        <v>9/24 14:23</v>
      </c>
      <c r="Z67">
        <v>5</v>
      </c>
    </row>
    <row r="68" spans="16:26" x14ac:dyDescent="0.2">
      <c r="P68" s="62" t="str">
        <v>9/24 14:28</v>
      </c>
      <c r="Q68">
        <v>96.97</v>
      </c>
      <c r="S68" s="62" t="str">
        <v>9/24 14:28</v>
      </c>
      <c r="T68">
        <v>100</v>
      </c>
      <c r="U68">
        <v>97.3</v>
      </c>
      <c r="V68">
        <v>100</v>
      </c>
      <c r="W68">
        <v>88.24</v>
      </c>
      <c r="Y68" s="62" t="str">
        <v>9/24 14:28</v>
      </c>
      <c r="Z68">
        <v>3</v>
      </c>
    </row>
    <row r="69" spans="16:26" x14ac:dyDescent="0.2">
      <c r="P69" s="62" t="str">
        <v>9/24 14:33</v>
      </c>
      <c r="Q69">
        <v>94.62</v>
      </c>
      <c r="S69" s="62" t="str">
        <v>9/24 14:33</v>
      </c>
      <c r="T69">
        <v>100</v>
      </c>
      <c r="U69">
        <v>97.3</v>
      </c>
      <c r="V69">
        <v>100</v>
      </c>
      <c r="W69">
        <v>76.47</v>
      </c>
      <c r="Y69" s="62" t="str">
        <v>9/24 14:33</v>
      </c>
      <c r="Z69">
        <v>5</v>
      </c>
    </row>
    <row r="70" spans="16:26" x14ac:dyDescent="0.2">
      <c r="P70" s="62" t="str">
        <v>9/24 14:38</v>
      </c>
      <c r="Q70">
        <v>94.62</v>
      </c>
      <c r="S70" s="62" t="str">
        <v>9/24 14:38</v>
      </c>
      <c r="T70">
        <v>100</v>
      </c>
      <c r="U70">
        <v>97.3</v>
      </c>
      <c r="V70">
        <v>100</v>
      </c>
      <c r="W70">
        <v>76.47</v>
      </c>
      <c r="Y70" s="62" t="str">
        <v>9/24 14:38</v>
      </c>
      <c r="Z70">
        <v>5</v>
      </c>
    </row>
    <row r="71" spans="16:26" x14ac:dyDescent="0.2">
      <c r="P71" s="62" t="str">
        <v>9/24 16:03</v>
      </c>
      <c r="Q71">
        <v>100</v>
      </c>
      <c r="S71" s="62" t="str">
        <v>9/24 16:03</v>
      </c>
      <c r="T71">
        <v>100</v>
      </c>
      <c r="U71">
        <v>100</v>
      </c>
      <c r="V71">
        <v>100</v>
      </c>
      <c r="W71">
        <v>100</v>
      </c>
      <c r="Y71" s="62" t="str">
        <v>9/24 16:03</v>
      </c>
      <c r="Z71">
        <v>0</v>
      </c>
    </row>
    <row r="72" spans="16:26" x14ac:dyDescent="0.2">
      <c r="P72" s="62" t="str">
        <v>9/24 16:38</v>
      </c>
      <c r="Q72">
        <v>100</v>
      </c>
      <c r="S72" s="62" t="str">
        <v>9/24 16:38</v>
      </c>
      <c r="T72">
        <v>100</v>
      </c>
      <c r="U72">
        <v>100</v>
      </c>
      <c r="V72">
        <v>100</v>
      </c>
      <c r="W72">
        <v>100</v>
      </c>
      <c r="Y72" s="62" t="str">
        <v>9/24 16:38</v>
      </c>
      <c r="Z72">
        <v>0</v>
      </c>
    </row>
    <row r="73" spans="16:26" x14ac:dyDescent="0.2">
      <c r="P73" s="62" t="str">
        <v>9/24 16:43</v>
      </c>
      <c r="Q73">
        <v>100</v>
      </c>
      <c r="S73" s="62" t="str">
        <v>9/24 16:43</v>
      </c>
      <c r="T73">
        <v>100</v>
      </c>
      <c r="U73">
        <v>100</v>
      </c>
      <c r="V73">
        <v>100</v>
      </c>
      <c r="W73">
        <v>100</v>
      </c>
      <c r="Y73" s="62" t="str">
        <v>9/24 16:43</v>
      </c>
      <c r="Z73">
        <v>0</v>
      </c>
    </row>
    <row r="74" spans="16:26" x14ac:dyDescent="0.2">
      <c r="P74" s="62" t="str">
        <v>9/24 16:48</v>
      </c>
      <c r="Q74">
        <v>100</v>
      </c>
      <c r="S74" s="62" t="str">
        <v>9/24 16:48</v>
      </c>
      <c r="T74">
        <v>100</v>
      </c>
      <c r="U74">
        <v>100</v>
      </c>
      <c r="V74">
        <v>100</v>
      </c>
      <c r="W74">
        <v>100</v>
      </c>
      <c r="Y74" s="62" t="str">
        <v>9/24 16:48</v>
      </c>
      <c r="Z74">
        <v>0</v>
      </c>
    </row>
    <row r="75" spans="16:26" x14ac:dyDescent="0.2">
      <c r="P75" s="62" t="str">
        <v>9/24 16:53</v>
      </c>
      <c r="Q75">
        <v>100</v>
      </c>
      <c r="S75" s="62" t="str">
        <v>9/24 16:53</v>
      </c>
      <c r="T75">
        <v>100</v>
      </c>
      <c r="U75">
        <v>100</v>
      </c>
      <c r="V75">
        <v>100</v>
      </c>
      <c r="W75">
        <v>100</v>
      </c>
      <c r="Y75" s="62" t="str">
        <v>9/24 16:53</v>
      </c>
      <c r="Z75">
        <v>0</v>
      </c>
    </row>
    <row r="76" spans="16:26" x14ac:dyDescent="0.2">
      <c r="P76" s="62" t="str">
        <v>9/24 16:58</v>
      </c>
      <c r="Q76">
        <v>100</v>
      </c>
      <c r="S76" s="62" t="str">
        <v>9/24 16:58</v>
      </c>
      <c r="T76">
        <v>100</v>
      </c>
      <c r="U76">
        <v>100</v>
      </c>
      <c r="V76">
        <v>100</v>
      </c>
      <c r="W76">
        <v>100</v>
      </c>
      <c r="Y76" s="62" t="str">
        <v>9/24 16:58</v>
      </c>
      <c r="Z76">
        <v>0</v>
      </c>
    </row>
    <row r="77" spans="16:26" x14ac:dyDescent="0.2">
      <c r="P77" s="62" t="str">
        <v>9/24 17:03</v>
      </c>
      <c r="Q77">
        <v>100</v>
      </c>
      <c r="S77" s="62" t="str">
        <v>9/24 17:03</v>
      </c>
      <c r="T77">
        <v>100</v>
      </c>
      <c r="U77">
        <v>100</v>
      </c>
      <c r="V77">
        <v>100</v>
      </c>
      <c r="W77">
        <v>100</v>
      </c>
      <c r="Y77" s="62" t="str">
        <v>9/24 17:03</v>
      </c>
      <c r="Z77">
        <v>0</v>
      </c>
    </row>
    <row r="78" spans="16:26" x14ac:dyDescent="0.2">
      <c r="P78" s="62" t="str">
        <v>9/24 17:08</v>
      </c>
      <c r="Q78">
        <v>100</v>
      </c>
      <c r="S78" s="62" t="str">
        <v>9/24 17:08</v>
      </c>
      <c r="T78">
        <v>100</v>
      </c>
      <c r="U78">
        <v>100</v>
      </c>
      <c r="V78">
        <v>100</v>
      </c>
      <c r="W78">
        <v>100</v>
      </c>
      <c r="Y78" s="62" t="str">
        <v>9/24 17:08</v>
      </c>
      <c r="Z78">
        <v>0</v>
      </c>
    </row>
    <row r="79" spans="16:26" x14ac:dyDescent="0.2">
      <c r="P79" s="62" t="str">
        <v>9/24 17:13</v>
      </c>
      <c r="Q79">
        <v>93.75</v>
      </c>
      <c r="S79" s="62" t="str">
        <v>9/24 17:13</v>
      </c>
      <c r="T79">
        <v>100</v>
      </c>
      <c r="U79">
        <v>75</v>
      </c>
      <c r="V79">
        <v>100</v>
      </c>
      <c r="W79">
        <v>100</v>
      </c>
      <c r="Y79" s="62" t="str">
        <v>9/24 17:13</v>
      </c>
      <c r="Z79">
        <v>1</v>
      </c>
    </row>
    <row r="80" spans="16:26" x14ac:dyDescent="0.2">
      <c r="P80" s="62" t="str">
        <v>9/24 17:18</v>
      </c>
      <c r="Q80">
        <v>93.75</v>
      </c>
      <c r="S80" s="62" t="str">
        <v>9/24 17:18</v>
      </c>
      <c r="T80">
        <v>100</v>
      </c>
      <c r="U80">
        <v>75</v>
      </c>
      <c r="V80">
        <v>100</v>
      </c>
      <c r="W80">
        <v>100</v>
      </c>
      <c r="Y80" s="62" t="str">
        <v>9/24 17:18</v>
      </c>
      <c r="Z80">
        <v>1</v>
      </c>
    </row>
    <row r="81" spans="16:26" x14ac:dyDescent="0.2">
      <c r="P81" s="62" t="str">
        <v>9/24 17:23</v>
      </c>
      <c r="Q81">
        <v>93.75</v>
      </c>
      <c r="S81" s="62" t="str">
        <v>9/24 17:23</v>
      </c>
      <c r="T81">
        <v>100</v>
      </c>
      <c r="U81">
        <v>75</v>
      </c>
      <c r="V81">
        <v>100</v>
      </c>
      <c r="W81">
        <v>100</v>
      </c>
      <c r="Y81" s="62" t="str">
        <v>9/24 17:23</v>
      </c>
      <c r="Z81">
        <v>1</v>
      </c>
    </row>
    <row r="82" spans="16:26" x14ac:dyDescent="0.2">
      <c r="P82" s="62" t="str">
        <v>9/24 17:28</v>
      </c>
      <c r="Q82">
        <v>93.75</v>
      </c>
      <c r="S82" s="62" t="str">
        <v>9/24 17:28</v>
      </c>
      <c r="T82">
        <v>100</v>
      </c>
      <c r="U82">
        <v>75</v>
      </c>
      <c r="V82">
        <v>100</v>
      </c>
      <c r="W82">
        <v>100</v>
      </c>
      <c r="Y82" s="62" t="str">
        <v>9/24 17:28</v>
      </c>
      <c r="Z82">
        <v>1</v>
      </c>
    </row>
    <row r="83" spans="16:26" x14ac:dyDescent="0.2">
      <c r="P83" s="62" t="str">
        <v>9/24 17:33</v>
      </c>
      <c r="Q83">
        <v>93.75</v>
      </c>
      <c r="S83" s="62" t="str">
        <v>9/24 17:33</v>
      </c>
      <c r="T83">
        <v>100</v>
      </c>
      <c r="U83">
        <v>75</v>
      </c>
      <c r="V83">
        <v>100</v>
      </c>
      <c r="W83">
        <v>100</v>
      </c>
      <c r="Y83" s="62" t="str">
        <v>9/24 17:33</v>
      </c>
      <c r="Z83">
        <v>1</v>
      </c>
    </row>
    <row r="84" spans="16:26" x14ac:dyDescent="0.2">
      <c r="P84" s="62" t="str">
        <v>9/24 17:39</v>
      </c>
      <c r="Q84">
        <v>93.75</v>
      </c>
      <c r="S84" s="62" t="str">
        <v>9/24 17:39</v>
      </c>
      <c r="T84">
        <v>100</v>
      </c>
      <c r="U84">
        <v>75</v>
      </c>
      <c r="V84">
        <v>100</v>
      </c>
      <c r="W84">
        <v>100</v>
      </c>
      <c r="Y84" s="62" t="str">
        <v>9/24 17:39</v>
      </c>
      <c r="Z84">
        <v>1</v>
      </c>
    </row>
    <row r="85" spans="16:26" x14ac:dyDescent="0.2">
      <c r="P85" s="62"/>
      <c r="S85" s="62"/>
      <c r="Y85" s="62"/>
    </row>
  </sheetData>
  <mergeCells count="2">
    <mergeCell ref="A3:N3"/>
    <mergeCell ref="H13:M13"/>
  </mergeCells>
  <conditionalFormatting sqref="E7:E12">
    <cfRule type="expression" dxfId="118" priority="1">
      <formula>E7&gt;0</formula>
    </cfRule>
  </conditionalFormatting>
  <conditionalFormatting sqref="E7:E12">
    <cfRule type="expression" dxfId="117" priority="2">
      <formula>E7&lt;0</formula>
    </cfRule>
  </conditionalFormatting>
  <conditionalFormatting sqref="F7:F12">
    <cfRule type="expression" dxfId="116" priority="3">
      <formula>F7="PASS"</formula>
    </cfRule>
  </conditionalFormatting>
  <conditionalFormatting sqref="F7:F12">
    <cfRule type="expression" dxfId="115" priority="4">
      <formula>OR(F7="REVIEW",F7="LOCKED")</formula>
    </cfRule>
  </conditionalFormatting>
  <conditionalFormatting sqref="F7:F12">
    <cfRule type="expression" dxfId="114" priority="5">
      <formula>OR(F7="STALE",F7="CROSSED")</formula>
    </cfRule>
  </conditionalFormatting>
  <conditionalFormatting sqref="F7:F12">
    <cfRule type="expression" dxfId="113" priority="6">
      <formula>F7="OUTLIER"</formula>
    </cfRule>
  </conditionalFormatting>
  <conditionalFormatting sqref="D15:D19">
    <cfRule type="expression" dxfId="112" priority="7">
      <formula>D15&gt;=95</formula>
    </cfRule>
  </conditionalFormatting>
  <conditionalFormatting sqref="D15:D19">
    <cfRule type="expression" dxfId="111" priority="8">
      <formula>AND(D15&gt;=90,D15&lt;95)</formula>
    </cfRule>
  </conditionalFormatting>
  <conditionalFormatting sqref="D15:D19">
    <cfRule type="expression" dxfId="110" priority="9">
      <formula>AND(D15&gt;=80,D15&lt;90)</formula>
    </cfRule>
  </conditionalFormatting>
  <conditionalFormatting sqref="D15:D19">
    <cfRule type="expression" dxfId="109" priority="10">
      <formula>AND(ISNUMBER(D15),D15&lt;80)</formula>
    </cfRule>
  </conditionalFormatting>
  <conditionalFormatting sqref="D20:D23">
    <cfRule type="expression" dxfId="108" priority="11">
      <formula>D20&gt;0</formula>
    </cfRule>
  </conditionalFormatting>
  <conditionalFormatting sqref="D21">
    <cfRule type="expression" dxfId="107" priority="12">
      <formula>D21&gt;0</formula>
    </cfRule>
  </conditionalFormatting>
  <conditionalFormatting sqref="D22">
    <cfRule type="expression" dxfId="106" priority="13">
      <formula>D22&gt;0</formula>
    </cfRule>
  </conditionalFormatting>
  <conditionalFormatting sqref="H16:H25">
    <cfRule type="expression" dxfId="105" priority="15">
      <formula>H16="HIGH"</formula>
    </cfRule>
  </conditionalFormatting>
  <conditionalFormatting sqref="E7:E12">
    <cfRule type="expression" dxfId="104" priority="17">
      <formula>E7&gt;0</formula>
    </cfRule>
  </conditionalFormatting>
  <conditionalFormatting sqref="E7:E12">
    <cfRule type="expression" dxfId="103" priority="18">
      <formula>E7&lt;0</formula>
    </cfRule>
  </conditionalFormatting>
  <conditionalFormatting sqref="F7:F12">
    <cfRule type="expression" dxfId="102" priority="19">
      <formula>F7="PASS"</formula>
    </cfRule>
  </conditionalFormatting>
  <conditionalFormatting sqref="F7:F12">
    <cfRule type="expression" dxfId="101" priority="20">
      <formula>OR(F7="REVIEW",F7="WARN")</formula>
    </cfRule>
  </conditionalFormatting>
  <conditionalFormatting sqref="F7:F12">
    <cfRule type="expression" dxfId="100" priority="21">
      <formula>OR(F7="FAIL",F7="CRITICAL")</formula>
    </cfRule>
  </conditionalFormatting>
  <conditionalFormatting sqref="K7:M12">
    <cfRule type="expression" dxfId="99" priority="22">
      <formula>$K7="N/A"</formula>
    </cfRule>
  </conditionalFormatting>
  <conditionalFormatting sqref="D15:D19">
    <cfRule type="expression" dxfId="98" priority="23">
      <formula>D15&gt;=95</formula>
    </cfRule>
  </conditionalFormatting>
  <conditionalFormatting sqref="D15:D19">
    <cfRule type="expression" dxfId="97" priority="24">
      <formula>AND(D15&gt;=80,D15&lt;95)</formula>
    </cfRule>
  </conditionalFormatting>
  <conditionalFormatting sqref="D15:D19">
    <cfRule type="expression" dxfId="96" priority="25">
      <formula>D15&lt;80</formula>
    </cfRule>
  </conditionalFormatting>
  <conditionalFormatting sqref="D20">
    <cfRule type="expression" dxfId="95" priority="26">
      <formula>D20&gt;0</formula>
    </cfRule>
  </conditionalFormatting>
  <conditionalFormatting sqref="D21">
    <cfRule type="expression" dxfId="94" priority="27">
      <formula>D21&gt;0</formula>
    </cfRule>
  </conditionalFormatting>
  <conditionalFormatting sqref="D22">
    <cfRule type="expression" dxfId="93" priority="28">
      <formula>D22&gt;0</formula>
    </cfRule>
  </conditionalFormatting>
  <conditionalFormatting sqref="D23">
    <cfRule type="expression" dxfId="92" priority="29">
      <formula>D23&gt;0</formula>
    </cfRule>
  </conditionalFormatting>
  <conditionalFormatting sqref="H16:H21">
    <cfRule type="expression" dxfId="91" priority="30">
      <formula>$H16="CRITICAL"</formula>
    </cfRule>
  </conditionalFormatting>
  <conditionalFormatting sqref="H16:H21">
    <cfRule type="expression" dxfId="90" priority="32">
      <formula>$H16="MEDIUM"</formula>
    </cfRule>
  </conditionalFormatting>
  <conditionalFormatting sqref="I16:M23">
    <cfRule type="expression" dxfId="89" priority="33">
      <formula>$H16="CRITICAL"</formula>
    </cfRule>
  </conditionalFormatting>
  <conditionalFormatting sqref="I16:M23">
    <cfRule type="expression" dxfId="88" priority="34">
      <formula>$H16="HIGH"</formula>
    </cfRule>
  </conditionalFormatting>
  <conditionalFormatting sqref="I16:M23">
    <cfRule type="expression" dxfId="87" priority="35">
      <formula>$H16="MEDIUM"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ECA3-D603-6E4C-AF52-F26110D5D596}">
  <dimension ref="A1:Y500"/>
  <sheetViews>
    <sheetView showGridLines="0" topLeftCell="Q1" workbookViewId="0">
      <pane ySplit="5" topLeftCell="A6" activePane="bottomLeft" state="frozen"/>
      <selection pane="bottomLeft" activeCell="Z9" sqref="Z9"/>
    </sheetView>
  </sheetViews>
  <sheetFormatPr baseColWidth="10" defaultRowHeight="16" x14ac:dyDescent="0.2"/>
  <cols>
    <col min="1" max="1" width="12.5" style="3" customWidth="1"/>
    <col min="2" max="2" width="30" style="3" customWidth="1"/>
    <col min="3" max="7" width="14.1640625" style="3" customWidth="1"/>
    <col min="8" max="8" width="14.6640625" style="3" customWidth="1"/>
    <col min="9" max="9" width="15.83203125" style="3" customWidth="1"/>
    <col min="10" max="14" width="17.5" style="3" customWidth="1"/>
    <col min="15" max="15" width="21.1640625" style="3" customWidth="1"/>
    <col min="16" max="16" width="4.1640625" style="3" customWidth="1"/>
    <col min="17" max="25" width="17.5" style="3" customWidth="1"/>
  </cols>
  <sheetData>
    <row r="1" spans="1:25" ht="24" x14ac:dyDescent="0.3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5" x14ac:dyDescent="0.2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s="25" customFormat="1" ht="30" customHeight="1" x14ac:dyDescent="0.2">
      <c r="A3" s="38" t="s">
        <v>105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x14ac:dyDescent="0.2">
      <c r="A4" s="5" t="s">
        <v>34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Q4" s="5" t="s">
        <v>108</v>
      </c>
      <c r="R4" s="5"/>
      <c r="T4" s="5" t="s">
        <v>109</v>
      </c>
      <c r="U4" s="5"/>
      <c r="W4" s="5" t="s">
        <v>110</v>
      </c>
      <c r="X4" s="5"/>
    </row>
    <row r="5" spans="1:25" s="30" customFormat="1" ht="38" customHeight="1" thickBot="1" x14ac:dyDescent="0.25">
      <c r="A5" s="27" t="s">
        <v>27</v>
      </c>
      <c r="B5" s="27" t="s">
        <v>28</v>
      </c>
      <c r="C5" s="27" t="s">
        <v>35</v>
      </c>
      <c r="D5" s="27" t="s">
        <v>36</v>
      </c>
      <c r="E5" s="27" t="s">
        <v>37</v>
      </c>
      <c r="F5" s="27" t="s">
        <v>38</v>
      </c>
      <c r="G5" s="27" t="s">
        <v>39</v>
      </c>
      <c r="H5" s="27" t="s">
        <v>106</v>
      </c>
      <c r="I5" s="27" t="s">
        <v>399</v>
      </c>
      <c r="J5" s="27" t="s">
        <v>41</v>
      </c>
      <c r="K5" s="27" t="s">
        <v>107</v>
      </c>
      <c r="L5" s="27" t="s">
        <v>42</v>
      </c>
      <c r="M5" s="27" t="s">
        <v>43</v>
      </c>
      <c r="N5" s="27" t="s">
        <v>44</v>
      </c>
      <c r="O5" s="27" t="s">
        <v>400</v>
      </c>
      <c r="P5" s="28"/>
      <c r="Q5" s="29" t="s">
        <v>27</v>
      </c>
      <c r="R5" s="29" t="s">
        <v>36</v>
      </c>
      <c r="S5" s="28"/>
      <c r="T5" s="29" t="s">
        <v>27</v>
      </c>
      <c r="U5" s="29" t="s">
        <v>36</v>
      </c>
      <c r="V5" s="28"/>
      <c r="W5" s="29" t="s">
        <v>27</v>
      </c>
      <c r="X5" s="29" t="s">
        <v>40</v>
      </c>
      <c r="Y5" s="28"/>
    </row>
    <row r="6" spans="1:25" x14ac:dyDescent="0.2">
      <c r="A6" s="3" t="str" cm="1">
        <f t="array" ref="A6">IFERROR(INDEX(_xlfn._xlws.FILTER(market_overview[symbol],market_overview[category]="US Equity"),1),"")</f>
        <v>BAC</v>
      </c>
      <c r="B6" s="3" t="str" cm="1">
        <f t="array" ref="B6">IFERROR(INDEX(_xlfn._xlws.FILTER(market_overview[name],market_overview[category]="US Equity"),1),"")</f>
        <v>Bank of America</v>
      </c>
      <c r="C6" s="8" cm="1">
        <f t="array" ref="C6">IFERROR(INDEX(_xlfn._xlws.FILTER(market_overview[price],market_overview[category]="US Equity"),1),"")</f>
        <v>56.049999237060547</v>
      </c>
      <c r="D6" s="9" cm="1">
        <f t="array" ref="D6">IFERROR(INDEX(_xlfn._xlws.FILTER(market_overview[move_bps],market_overview[category]="US Equity"),1),"")</f>
        <v>-21.363527825626338</v>
      </c>
      <c r="E6" s="8" cm="1">
        <f t="array" ref="E6">_xlfn.LET(_xlpm.v,IFERROR(INDEX(_xlfn._xlws.FILTER(market_overview[bid],market_overview[category]="US Equity"),ROW()-5),""),IF(OR(_xlpm.v="",_xlpm.v=0),"",_xlpm.v))</f>
        <v>53.2</v>
      </c>
      <c r="F6" s="8" cm="1">
        <f t="array" ref="F6">_xlfn.LET(_xlpm.v,IFERROR(INDEX(_xlfn._xlws.FILTER(market_overview[ask],market_overview[category]="US Equity"),ROW()-5),""),IF(OR(_xlpm.v="",_xlpm.v=0),"",_xlpm.v))</f>
        <v>59.22</v>
      </c>
      <c r="G6" s="8" cm="1">
        <f t="array" ref="G6">_xlfn.LET(_xlpm.v,IFERROR(INDEX(_xlfn._xlws.FILTER(market_overview[mid],market_overview[category]="US Equity"),ROW()-5),""),IF(OR(_xlpm.v="",_xlpm.v=0),"",_xlpm.v))</f>
        <v>56.21</v>
      </c>
      <c r="H6" s="59" cm="1">
        <f t="array" ref="H6">_xlfn.LET(_xlpm.v,IFERROR(INDEX(_xlfn._xlws.FILTER(market_overview[spread_bps],market_overview[category]="US Equity"),ROW()-5),""),IF(OR(_xlpm.v="",_xlpm.v=0),"",_xlpm.v))</f>
        <v>1070.9838107098374</v>
      </c>
      <c r="I6" s="46" cm="1">
        <f t="array" ref="I6">IFERROR(INDEX(_xlfn._xlws.FILTER(market_overview[quote_age_seconds],market_overview[category]="US Equity"),1),"")</f>
        <v>5939.9956380000003</v>
      </c>
      <c r="J6" s="3" t="str" cm="1">
        <f t="array" ref="J6">IF(A6="","",IF(INDEX(_xlfn._xlws.FILTER(market_overview[market_expected_open],market_overview[category]="US Equity"),1)="YES","OPEN","CLOSED"))</f>
        <v>CLOSED</v>
      </c>
      <c r="K6" s="3" t="str" cm="1">
        <f t="array" ref="K6">IF(A6="","",_xlfn.LET(_xlpm.mkt,INDEX(_xlfn._xlws.FILTER(market_overview[market_stale_flag],market_overview[category]="US Equity"),1),_xlpm.q,INDEX(_xlfn._xlws.FILTER(market_overview[quote_stale_flag],market_overview[category]="US Equity"),1),_xlpm.op,INDEX(_xlfn._xlws.FILTER(market_overview[market_expected_open],market_overview[category]="US Equity"),1),IF(_xlpm.op="NO","MARKET_CLOSED",IF(OR(_xlpm.mkt="STALE",_xlpm.q="STALE"),"STALE","OK"))))</f>
        <v>MARKET_CLOSED</v>
      </c>
      <c r="L6" s="3" t="str" cm="1">
        <f t="array" ref="L6">IFERROR(INDEX(_xlfn._xlws.FILTER(market_overview[market_outlier_flag],market_overview[category]="US Equity"),1),"")</f>
        <v>OK</v>
      </c>
      <c r="M6" s="3" t="str" cm="1">
        <f t="array" ref="M6">IFERROR(INDEX(_xlfn._xlws.FILTER(market_overview[crossed_flag],market_overview[category]="US Equity"),1),"")</f>
        <v>OK</v>
      </c>
      <c r="N6" s="3" t="str" cm="1">
        <f t="array" ref="N6">IFERROR(INDEX(_xlfn._xlws.FILTER(market_overview[locked_flag],market_overview[category]="US Equity"),1),"")</f>
        <v>OK</v>
      </c>
      <c r="Q6" s="3" t="str" cm="1">
        <f t="array" ref="Q6:R8">_xlfn.LET(_xlpm.f,_xlfn._xlws.FILTER(_xlfn.HSTACK(market_overview[symbol],market_overview[move_bps]),(market_overview[category]="US Equity")*(market_overview[move_bps]&gt;0),""),IFERROR(_xlfn.TAKE(_xlfn.SORTBY(_xlpm.f,INDEX(_xlpm.f,,2),-1),5),""))</f>
        <v>JPM</v>
      </c>
      <c r="R6" s="47">
        <v>6.2100091340644425</v>
      </c>
      <c r="T6" s="3" t="str" cm="1">
        <f t="array" ref="T6:U10">_xlfn.LET(_xlpm.f,_xlfn._xlws.FILTER(_xlfn.HSTACK(market_overview[symbol],market_overview[move_bps]),(market_overview[category]="US Equity")*(market_overview[move_bps]&lt;0),""),IFERROR(_xlfn.TAKE(_xlfn.SORTBY(_xlpm.f,INDEX(_xlpm.f,,2),1),5),""))</f>
        <v>LLY</v>
      </c>
      <c r="U6" s="47">
        <v>-35.207270816017825</v>
      </c>
      <c r="W6" s="3" t="str" cm="1">
        <f t="array" ref="W6:X10">_xlfn.LET(_xlpm.f,_xlfn._xlws.FILTER(_xlfn.HSTACK(market_overview[symbol],market_overview[spread_bps]),(market_overview[category]="US Equity")*ISNUMBER(market_overview[spread_bps])*(market_overview[spread_bps]&gt;0),""),IFERROR(_xlfn.TAKE(_xlfn.SORTBY(_xlpm.f,_xlfn.CHOOSECOLS(_xlpm.f,2),-1),5),""))</f>
        <v>BAC</v>
      </c>
      <c r="X6" s="47">
        <v>1070.9838107098374</v>
      </c>
    </row>
    <row r="7" spans="1:25" x14ac:dyDescent="0.2">
      <c r="A7" s="3" t="str" cm="1">
        <f t="array" ref="A7">IFERROR(INDEX(_xlfn._xlws.FILTER(market_overview[symbol],market_overview[category]="US Equity"),2),"")</f>
        <v>CAT</v>
      </c>
      <c r="B7" s="3" t="str" cm="1">
        <f t="array" ref="B7">IFERROR(INDEX(_xlfn._xlws.FILTER(market_overview[name],market_overview[category]="US Equity"),2),"")</f>
        <v>Caterpillar</v>
      </c>
      <c r="C7" s="8" cm="1">
        <f t="array" ref="C7">IFERROR(INDEX(_xlfn._xlws.FILTER(market_overview[price],market_overview[category]="US Equity"),2),"")</f>
        <v>805.07000732421875</v>
      </c>
      <c r="D7" s="9" cm="1">
        <f t="array" ref="D7">IFERROR(INDEX(_xlfn._xlws.FILTER(market_overview[move_bps],market_overview[category]="US Equity"),2),"")</f>
        <v>0.37301621900187598</v>
      </c>
      <c r="E7" s="8" cm="1">
        <f t="array" ref="E7">_xlfn.LET(_xlpm.v,IFERROR(INDEX(_xlfn._xlws.FILTER(market_overview[bid],market_overview[category]="US Equity"),ROW()-5),""),IF(OR(_xlpm.v="",_xlpm.v=0),"",_xlpm.v))</f>
        <v>756.67</v>
      </c>
      <c r="F7" s="8" t="str" cm="1">
        <f t="array" ref="F7">_xlfn.LET(_xlpm.v,IFERROR(INDEX(_xlfn._xlws.FILTER(market_overview[ask],market_overview[category]="US Equity"),ROW()-5),""),IF(OR(_xlpm.v="",_xlpm.v=0),"",_xlpm.v))</f>
        <v/>
      </c>
      <c r="G7" s="8" t="str" cm="1">
        <f t="array" ref="G7">_xlfn.LET(_xlpm.v,IFERROR(INDEX(_xlfn._xlws.FILTER(market_overview[mid],market_overview[category]="US Equity"),ROW()-5),""),IF(OR(_xlpm.v="",_xlpm.v=0),"",_xlpm.v))</f>
        <v/>
      </c>
      <c r="H7" s="59" t="str" cm="1">
        <f t="array" ref="H7">_xlfn.LET(_xlpm.v,IFERROR(INDEX(_xlfn._xlws.FILTER(market_overview[spread_bps],market_overview[category]="US Equity"),ROW()-5),""),IF(OR(_xlpm.v="",_xlpm.v=0),"",_xlpm.v))</f>
        <v/>
      </c>
      <c r="I7" s="46" cm="1">
        <f t="array" ref="I7">IFERROR(INDEX(_xlfn._xlws.FILTER(market_overview[quote_age_seconds],market_overview[category]="US Equity"),2),"")</f>
        <v>5937.5962170000003</v>
      </c>
      <c r="J7" s="3" t="str" cm="1">
        <f t="array" ref="J7">IF(A7="","",IF(INDEX(_xlfn._xlws.FILTER(market_overview[market_expected_open],market_overview[category]="US Equity"),2)="YES","OPEN","CLOSED"))</f>
        <v>CLOSED</v>
      </c>
      <c r="K7" s="3" t="str" cm="1">
        <f t="array" ref="K7">IF(A7="","",_xlfn.LET(_xlpm.mkt,INDEX(_xlfn._xlws.FILTER(market_overview[market_stale_flag],market_overview[category]="US Equity"),2),_xlpm.q,INDEX(_xlfn._xlws.FILTER(market_overview[quote_stale_flag],market_overview[category]="US Equity"),2),_xlpm.op,INDEX(_xlfn._xlws.FILTER(market_overview[market_expected_open],market_overview[category]="US Equity"),2),IF(_xlpm.op="NO","MARKET_CLOSED",IF(OR(_xlpm.mkt="STALE",_xlpm.q="STALE"),"STALE","OK"))))</f>
        <v>MARKET_CLOSED</v>
      </c>
      <c r="L7" s="3" t="str" cm="1">
        <f t="array" ref="L7">IFERROR(INDEX(_xlfn._xlws.FILTER(market_overview[market_outlier_flag],market_overview[category]="US Equity"),2),"")</f>
        <v>OK</v>
      </c>
      <c r="M7" s="3" t="str" cm="1">
        <f t="array" ref="M7">IFERROR(INDEX(_xlfn._xlws.FILTER(market_overview[crossed_flag],market_overview[category]="US Equity"),2),"")</f>
        <v>NOT_AVAILABLE</v>
      </c>
      <c r="N7" s="3" t="str" cm="1">
        <f t="array" ref="N7">IFERROR(INDEX(_xlfn._xlws.FILTER(market_overview[locked_flag],market_overview[category]="US Equity"),2),"")</f>
        <v>NOT_AVAILABLE</v>
      </c>
      <c r="Q7" s="3" t="str">
        <v>COST</v>
      </c>
      <c r="R7" s="47">
        <v>3.2328021292915565</v>
      </c>
      <c r="T7" s="3" t="str">
        <v>JNJ</v>
      </c>
      <c r="U7" s="47">
        <v>-27.986716339913897</v>
      </c>
      <c r="W7" s="3" t="str">
        <v>LLY</v>
      </c>
      <c r="X7" s="47">
        <v>1033.3090613516667</v>
      </c>
    </row>
    <row r="8" spans="1:25" x14ac:dyDescent="0.2">
      <c r="A8" s="3" t="str" cm="1">
        <f t="array" ref="A8">IFERROR(INDEX(_xlfn._xlws.FILTER(market_overview[symbol],market_overview[category]="US Equity"),3),"")</f>
        <v>COST</v>
      </c>
      <c r="B8" s="3" t="str" cm="1">
        <f t="array" ref="B8">IFERROR(INDEX(_xlfn._xlws.FILTER(market_overview[name],market_overview[category]="US Equity"),3),"")</f>
        <v>Costco</v>
      </c>
      <c r="C8" s="8" cm="1">
        <f t="array" ref="C8">IFERROR(INDEX(_xlfn._xlws.FILTER(market_overview[price],market_overview[category]="US Equity"),3),"")</f>
        <v>896.71002197265625</v>
      </c>
      <c r="D8" s="9" cm="1">
        <f t="array" ref="D8">IFERROR(INDEX(_xlfn._xlws.FILTER(market_overview[move_bps],market_overview[category]="US Equity"),3),"")</f>
        <v>3.2328021292915565</v>
      </c>
      <c r="E8" s="8" cm="1">
        <f t="array" ref="E8">_xlfn.LET(_xlpm.v,IFERROR(INDEX(_xlfn._xlws.FILTER(market_overview[bid],market_overview[category]="US Equity"),ROW()-5),""),IF(OR(_xlpm.v="",_xlpm.v=0),"",_xlpm.v))</f>
        <v>862.88</v>
      </c>
      <c r="F8" s="8" cm="1">
        <f t="array" ref="F8">_xlfn.LET(_xlpm.v,IFERROR(INDEX(_xlfn._xlws.FILTER(market_overview[ask],market_overview[category]="US Equity"),ROW()-5),""),IF(OR(_xlpm.v="",_xlpm.v=0),"",_xlpm.v))</f>
        <v>955.5</v>
      </c>
      <c r="G8" s="8" cm="1">
        <f t="array" ref="G8">_xlfn.LET(_xlpm.v,IFERROR(INDEX(_xlfn._xlws.FILTER(market_overview[mid],market_overview[category]="US Equity"),ROW()-5),""),IF(OR(_xlpm.v="",_xlpm.v=0),"",_xlpm.v))</f>
        <v>909.19</v>
      </c>
      <c r="H8" s="59" cm="1">
        <f t="array" ref="H8">_xlfn.LET(_xlpm.v,IFERROR(INDEX(_xlfn._xlws.FILTER(market_overview[spread_bps],market_overview[category]="US Equity"),ROW()-5),""),IF(OR(_xlpm.v="",_xlpm.v=0),"",_xlpm.v))</f>
        <v>1018.7089607232812</v>
      </c>
      <c r="I8" s="46" cm="1">
        <f t="array" ref="I8">IFERROR(INDEX(_xlfn._xlws.FILTER(market_overview[quote_age_seconds],market_overview[category]="US Equity"),3),"")</f>
        <v>5940.5273820000002</v>
      </c>
      <c r="J8" s="3" t="str" cm="1">
        <f t="array" ref="J8">IF(A8="","",IF(INDEX(_xlfn._xlws.FILTER(market_overview[market_expected_open],market_overview[category]="US Equity"),3)="YES","OPEN","CLOSED"))</f>
        <v>CLOSED</v>
      </c>
      <c r="K8" s="3" t="str" cm="1">
        <f t="array" ref="K8">IF(A8="","",_xlfn.LET(_xlpm.mkt,INDEX(_xlfn._xlws.FILTER(market_overview[market_stale_flag],market_overview[category]="US Equity"),3),_xlpm.q,INDEX(_xlfn._xlws.FILTER(market_overview[quote_stale_flag],market_overview[category]="US Equity"),3),_xlpm.op,INDEX(_xlfn._xlws.FILTER(market_overview[market_expected_open],market_overview[category]="US Equity"),3),IF(_xlpm.op="NO","MARKET_CLOSED",IF(OR(_xlpm.mkt="STALE",_xlpm.q="STALE"),"STALE","OK"))))</f>
        <v>MARKET_CLOSED</v>
      </c>
      <c r="L8" s="3" t="str" cm="1">
        <f t="array" ref="L8">IFERROR(INDEX(_xlfn._xlws.FILTER(market_overview[market_outlier_flag],market_overview[category]="US Equity"),3),"")</f>
        <v>OK</v>
      </c>
      <c r="M8" s="3" t="str" cm="1">
        <f t="array" ref="M8">IFERROR(INDEX(_xlfn._xlws.FILTER(market_overview[crossed_flag],market_overview[category]="US Equity"),3),"")</f>
        <v>OK</v>
      </c>
      <c r="N8" s="3" t="str" cm="1">
        <f t="array" ref="N8">IFERROR(INDEX(_xlfn._xlws.FILTER(market_overview[locked_flag],market_overview[category]="US Equity"),3),"")</f>
        <v>OK</v>
      </c>
      <c r="Q8" s="3" t="str">
        <v>CAT</v>
      </c>
      <c r="R8" s="47">
        <v>0.37301621900187598</v>
      </c>
      <c r="T8" s="3" t="str">
        <v>BAC</v>
      </c>
      <c r="U8" s="47">
        <v>-21.363527825626338</v>
      </c>
      <c r="W8" s="3" t="str">
        <v>GE</v>
      </c>
      <c r="X8" s="47">
        <v>1031.4148492244706</v>
      </c>
    </row>
    <row r="9" spans="1:25" x14ac:dyDescent="0.2">
      <c r="A9" s="3" t="str" cm="1">
        <f t="array" ref="A9">IFERROR(INDEX(_xlfn._xlws.FILTER(market_overview[symbol],market_overview[category]="US Equity"),4),"")</f>
        <v>CVX</v>
      </c>
      <c r="B9" s="3" t="str" cm="1">
        <f t="array" ref="B9">IFERROR(INDEX(_xlfn._xlws.FILTER(market_overview[name],market_overview[category]="US Equity"),4),"")</f>
        <v>Chevron</v>
      </c>
      <c r="C9" s="8" cm="1">
        <f t="array" ref="C9">IFERROR(INDEX(_xlfn._xlws.FILTER(market_overview[price],market_overview[category]="US Equity"),4),"")</f>
        <v>205.6300048828125</v>
      </c>
      <c r="D9" s="9" cm="1">
        <f t="array" ref="D9">IFERROR(INDEX(_xlfn._xlws.FILTER(market_overview[move_bps],market_overview[category]="US Equity"),4),"")</f>
        <v>-8.9885361319286261</v>
      </c>
      <c r="E9" s="8" cm="1">
        <f t="array" ref="E9">_xlfn.LET(_xlpm.v,IFERROR(INDEX(_xlfn._xlws.FILTER(market_overview[bid],market_overview[category]="US Equity"),ROW()-5),""),IF(OR(_xlpm.v="",_xlpm.v=0),"",_xlpm.v))</f>
        <v>196.69</v>
      </c>
      <c r="F9" s="8" cm="1">
        <f t="array" ref="F9">_xlfn.LET(_xlpm.v,IFERROR(INDEX(_xlfn._xlws.FILTER(market_overview[ask],market_overview[category]="US Equity"),ROW()-5),""),IF(OR(_xlpm.v="",_xlpm.v=0),"",_xlpm.v))</f>
        <v>217.81</v>
      </c>
      <c r="G9" s="8" cm="1">
        <f t="array" ref="G9">_xlfn.LET(_xlpm.v,IFERROR(INDEX(_xlfn._xlws.FILTER(market_overview[mid],market_overview[category]="US Equity"),ROW()-5),""),IF(OR(_xlpm.v="",_xlpm.v=0),"",_xlpm.v))</f>
        <v>207.25</v>
      </c>
      <c r="H9" s="59" cm="1">
        <f t="array" ref="H9">_xlfn.LET(_xlpm.v,IFERROR(INDEX(_xlfn._xlws.FILTER(market_overview[spread_bps],market_overview[category]="US Equity"),ROW()-5),""),IF(OR(_xlpm.v="",_xlpm.v=0),"",_xlpm.v))</f>
        <v>1019.0591073582632</v>
      </c>
      <c r="I9" s="46" cm="1">
        <f t="array" ref="I9">IFERROR(INDEX(_xlfn._xlws.FILTER(market_overview[quote_age_seconds],market_overview[category]="US Equity"),4),"")</f>
        <v>5940.5287580000004</v>
      </c>
      <c r="J9" s="3" t="str" cm="1">
        <f t="array" ref="J9">IF(A9="","",IF(INDEX(_xlfn._xlws.FILTER(market_overview[market_expected_open],market_overview[category]="US Equity"),4)="YES","OPEN","CLOSED"))</f>
        <v>CLOSED</v>
      </c>
      <c r="K9" s="3" t="str" cm="1">
        <f t="array" ref="K9">IF(A9="","",_xlfn.LET(_xlpm.mkt,INDEX(_xlfn._xlws.FILTER(market_overview[market_stale_flag],market_overview[category]="US Equity"),4),_xlpm.q,INDEX(_xlfn._xlws.FILTER(market_overview[quote_stale_flag],market_overview[category]="US Equity"),4),_xlpm.op,INDEX(_xlfn._xlws.FILTER(market_overview[market_expected_open],market_overview[category]="US Equity"),4),IF(_xlpm.op="NO","MARKET_CLOSED",IF(OR(_xlpm.mkt="STALE",_xlpm.q="STALE"),"STALE","OK"))))</f>
        <v>MARKET_CLOSED</v>
      </c>
      <c r="L9" s="3" t="str" cm="1">
        <f t="array" ref="L9">IFERROR(INDEX(_xlfn._xlws.FILTER(market_overview[market_outlier_flag],market_overview[category]="US Equity"),4),"")</f>
        <v>OK</v>
      </c>
      <c r="M9" s="3" t="str" cm="1">
        <f t="array" ref="M9">IFERROR(INDEX(_xlfn._xlws.FILTER(market_overview[crossed_flag],market_overview[category]="US Equity"),4),"")</f>
        <v>OK</v>
      </c>
      <c r="N9" s="3" t="str" cm="1">
        <f t="array" ref="N9">IFERROR(INDEX(_xlfn._xlws.FILTER(market_overview[locked_flag],market_overview[category]="US Equity"),4),"")</f>
        <v>OK</v>
      </c>
      <c r="R9" s="47"/>
      <c r="T9" s="3" t="str">
        <v>GE</v>
      </c>
      <c r="U9" s="47">
        <v>-19.042405554651197</v>
      </c>
      <c r="W9" s="3" t="str">
        <v>JPM</v>
      </c>
      <c r="X9" s="47">
        <v>1021.4568124268841</v>
      </c>
    </row>
    <row r="10" spans="1:25" x14ac:dyDescent="0.2">
      <c r="A10" s="3" t="str" cm="1">
        <f t="array" ref="A10">IFERROR(INDEX(_xlfn._xlws.FILTER(market_overview[symbol],market_overview[category]="US Equity"),5),"")</f>
        <v>GE</v>
      </c>
      <c r="B10" s="3" t="str" cm="1">
        <f t="array" ref="B10">IFERROR(INDEX(_xlfn._xlws.FILTER(market_overview[name],market_overview[category]="US Equity"),5),"")</f>
        <v>GE Aerospace</v>
      </c>
      <c r="C10" s="8" cm="1">
        <f t="array" ref="C10">IFERROR(INDEX(_xlfn._xlws.FILTER(market_overview[price],market_overview[category]="US Equity"),5),"")</f>
        <v>319.72000122070312</v>
      </c>
      <c r="D10" s="9" cm="1">
        <f t="array" ref="D10">IFERROR(INDEX(_xlfn._xlws.FILTER(market_overview[move_bps],market_overview[category]="US Equity"),5),"")</f>
        <v>-19.042405554651197</v>
      </c>
      <c r="E10" s="8" cm="1">
        <f t="array" ref="E10">_xlfn.LET(_xlpm.v,IFERROR(INDEX(_xlfn._xlws.FILTER(market_overview[bid],market_overview[category]="US Equity"),ROW()-5),""),IF(OR(_xlpm.v="",_xlpm.v=0),"",_xlpm.v))</f>
        <v>301.14999999999998</v>
      </c>
      <c r="F10" s="8" cm="1">
        <f t="array" ref="F10">_xlfn.LET(_xlpm.v,IFERROR(INDEX(_xlfn._xlws.FILTER(market_overview[ask],market_overview[category]="US Equity"),ROW()-5),""),IF(OR(_xlpm.v="",_xlpm.v=0),"",_xlpm.v))</f>
        <v>333.9</v>
      </c>
      <c r="G10" s="8" cm="1">
        <f t="array" ref="G10">_xlfn.LET(_xlpm.v,IFERROR(INDEX(_xlfn._xlws.FILTER(market_overview[mid],market_overview[category]="US Equity"),ROW()-5),""),IF(OR(_xlpm.v="",_xlpm.v=0),"",_xlpm.v))</f>
        <v>317.52499999999998</v>
      </c>
      <c r="H10" s="59" cm="1">
        <f t="array" ref="H10">_xlfn.LET(_xlpm.v,IFERROR(INDEX(_xlfn._xlws.FILTER(market_overview[spread_bps],market_overview[category]="US Equity"),ROW()-5),""),IF(OR(_xlpm.v="",_xlpm.v=0),"",_xlpm.v))</f>
        <v>1031.4148492244706</v>
      </c>
      <c r="I10" s="46" cm="1">
        <f t="array" ref="I10">IFERROR(INDEX(_xlfn._xlws.FILTER(market_overview[quote_age_seconds],market_overview[category]="US Equity"),5),"")</f>
        <v>5940.52927</v>
      </c>
      <c r="J10" s="3" t="str" cm="1">
        <f t="array" ref="J10">IF(A10="","",IF(INDEX(_xlfn._xlws.FILTER(market_overview[market_expected_open],market_overview[category]="US Equity"),5)="YES","OPEN","CLOSED"))</f>
        <v>CLOSED</v>
      </c>
      <c r="K10" s="3" t="str" cm="1">
        <f t="array" ref="K10">IF(A10="","",_xlfn.LET(_xlpm.mkt,INDEX(_xlfn._xlws.FILTER(market_overview[market_stale_flag],market_overview[category]="US Equity"),5),_xlpm.q,INDEX(_xlfn._xlws.FILTER(market_overview[quote_stale_flag],market_overview[category]="US Equity"),5),_xlpm.op,INDEX(_xlfn._xlws.FILTER(market_overview[market_expected_open],market_overview[category]="US Equity"),5),IF(_xlpm.op="NO","MARKET_CLOSED",IF(OR(_xlpm.mkt="STALE",_xlpm.q="STALE"),"STALE","OK"))))</f>
        <v>MARKET_CLOSED</v>
      </c>
      <c r="L10" s="3" t="str" cm="1">
        <f t="array" ref="L10">IFERROR(INDEX(_xlfn._xlws.FILTER(market_overview[market_outlier_flag],market_overview[category]="US Equity"),5),"")</f>
        <v>OK</v>
      </c>
      <c r="M10" s="3" t="str" cm="1">
        <f t="array" ref="M10">IFERROR(INDEX(_xlfn._xlws.FILTER(market_overview[crossed_flag],market_overview[category]="US Equity"),5),"")</f>
        <v>OK</v>
      </c>
      <c r="N10" s="3" t="str" cm="1">
        <f t="array" ref="N10">IFERROR(INDEX(_xlfn._xlws.FILTER(market_overview[locked_flag],market_overview[category]="US Equity"),5),"")</f>
        <v>OK</v>
      </c>
      <c r="R10" s="47"/>
      <c r="T10" s="3" t="str">
        <v>WMT</v>
      </c>
      <c r="U10" s="47">
        <v>-12.064474148431037</v>
      </c>
      <c r="W10" s="3" t="str">
        <v>CVX</v>
      </c>
      <c r="X10" s="47">
        <v>1019.0591073582632</v>
      </c>
    </row>
    <row r="11" spans="1:25" x14ac:dyDescent="0.2">
      <c r="A11" s="3" t="str" cm="1">
        <f t="array" ref="A11">IFERROR(INDEX(_xlfn._xlws.FILTER(market_overview[symbol],market_overview[category]="US Equity"),6),"")</f>
        <v>JNJ</v>
      </c>
      <c r="B11" s="3" t="str" cm="1">
        <f t="array" ref="B11">IFERROR(INDEX(_xlfn._xlws.FILTER(market_overview[name],market_overview[category]="US Equity"),6),"")</f>
        <v>Johnson &amp; Johnson</v>
      </c>
      <c r="C11" s="8" cm="1">
        <f t="array" ref="C11">IFERROR(INDEX(_xlfn._xlws.FILTER(market_overview[price],market_overview[category]="US Equity"),6),"")</f>
        <v>270.79000854492188</v>
      </c>
      <c r="D11" s="9" cm="1">
        <f t="array" ref="D11">IFERROR(INDEX(_xlfn._xlws.FILTER(market_overview[move_bps],market_overview[category]="US Equity"),6),"")</f>
        <v>-27.986716339913897</v>
      </c>
      <c r="E11" s="8" cm="1">
        <f t="array" ref="E11">_xlfn.LET(_xlpm.v,IFERROR(INDEX(_xlfn._xlws.FILTER(market_overview[bid],market_overview[category]="US Equity"),ROW()-5),""),IF(OR(_xlpm.v="",_xlpm.v=0),"",_xlpm.v))</f>
        <v>260.49</v>
      </c>
      <c r="F11" s="8" t="str" cm="1">
        <f t="array" ref="F11">_xlfn.LET(_xlpm.v,IFERROR(INDEX(_xlfn._xlws.FILTER(market_overview[ask],market_overview[category]="US Equity"),ROW()-5),""),IF(OR(_xlpm.v="",_xlpm.v=0),"",_xlpm.v))</f>
        <v/>
      </c>
      <c r="G11" s="8" t="str" cm="1">
        <f t="array" ref="G11">_xlfn.LET(_xlpm.v,IFERROR(INDEX(_xlfn._xlws.FILTER(market_overview[mid],market_overview[category]="US Equity"),ROW()-5),""),IF(OR(_xlpm.v="",_xlpm.v=0),"",_xlpm.v))</f>
        <v/>
      </c>
      <c r="H11" s="59" t="str" cm="1">
        <f t="array" ref="H11">_xlfn.LET(_xlpm.v,IFERROR(INDEX(_xlfn._xlws.FILTER(market_overview[spread_bps],market_overview[category]="US Equity"),ROW()-5),""),IF(OR(_xlpm.v="",_xlpm.v=0),"",_xlpm.v))</f>
        <v/>
      </c>
      <c r="I11" s="46" cm="1">
        <f t="array" ref="I11">IFERROR(INDEX(_xlfn._xlws.FILTER(market_overview[quote_age_seconds],market_overview[category]="US Equity"),6),"")</f>
        <v>5938.4182680000004</v>
      </c>
      <c r="J11" s="3" t="str" cm="1">
        <f t="array" ref="J11">IF(A11="","",IF(INDEX(_xlfn._xlws.FILTER(market_overview[market_expected_open],market_overview[category]="US Equity"),6)="YES","OPEN","CLOSED"))</f>
        <v>CLOSED</v>
      </c>
      <c r="K11" s="3" t="str" cm="1">
        <f t="array" ref="K11">IF(A11="","",_xlfn.LET(_xlpm.mkt,INDEX(_xlfn._xlws.FILTER(market_overview[market_stale_flag],market_overview[category]="US Equity"),6),_xlpm.q,INDEX(_xlfn._xlws.FILTER(market_overview[quote_stale_flag],market_overview[category]="US Equity"),6),_xlpm.op,INDEX(_xlfn._xlws.FILTER(market_overview[market_expected_open],market_overview[category]="US Equity"),6),IF(_xlpm.op="NO","MARKET_CLOSED",IF(OR(_xlpm.mkt="STALE",_xlpm.q="STALE"),"STALE","OK"))))</f>
        <v>MARKET_CLOSED</v>
      </c>
      <c r="L11" s="3" t="str" cm="1">
        <f t="array" ref="L11">IFERROR(INDEX(_xlfn._xlws.FILTER(market_overview[market_outlier_flag],market_overview[category]="US Equity"),6),"")</f>
        <v>OK</v>
      </c>
      <c r="M11" s="3" t="str" cm="1">
        <f t="array" ref="M11">IFERROR(INDEX(_xlfn._xlws.FILTER(market_overview[crossed_flag],market_overview[category]="US Equity"),6),"")</f>
        <v>NOT_AVAILABLE</v>
      </c>
      <c r="N11" s="3" t="str" cm="1">
        <f t="array" ref="N11">IFERROR(INDEX(_xlfn._xlws.FILTER(market_overview[locked_flag],market_overview[category]="US Equity"),6),"")</f>
        <v>NOT_AVAILABLE</v>
      </c>
    </row>
    <row r="12" spans="1:25" x14ac:dyDescent="0.2">
      <c r="A12" s="3" t="str" cm="1">
        <f t="array" ref="A12">IFERROR(INDEX(_xlfn._xlws.FILTER(market_overview[symbol],market_overview[category]="US Equity"),7),"")</f>
        <v>JPM</v>
      </c>
      <c r="B12" s="3" t="str" cm="1">
        <f t="array" ref="B12">IFERROR(INDEX(_xlfn._xlws.FILTER(market_overview[name],market_overview[category]="US Equity"),7),"")</f>
        <v>JPMorgan Chase</v>
      </c>
      <c r="C12" s="8" cm="1">
        <f t="array" ref="C12">IFERROR(INDEX(_xlfn._xlws.FILTER(market_overview[price],market_overview[category]="US Equity"),7),"")</f>
        <v>338.3599853515625</v>
      </c>
      <c r="D12" s="9" cm="1">
        <f t="array" ref="D12">IFERROR(INDEX(_xlfn._xlws.FILTER(market_overview[move_bps],market_overview[category]="US Equity"),7),"")</f>
        <v>6.2100091340644425</v>
      </c>
      <c r="E12" s="8" cm="1">
        <f t="array" ref="E12">_xlfn.LET(_xlpm.v,IFERROR(INDEX(_xlfn._xlws.FILTER(market_overview[bid],market_overview[category]="US Equity"),ROW()-5),""),IF(OR(_xlpm.v="",_xlpm.v=0),"",_xlpm.v))</f>
        <v>320.41000000000003</v>
      </c>
      <c r="F12" s="8" cm="1">
        <f t="array" ref="F12">_xlfn.LET(_xlpm.v,IFERROR(INDEX(_xlfn._xlws.FILTER(market_overview[ask],market_overview[category]="US Equity"),ROW()-5),""),IF(OR(_xlpm.v="",_xlpm.v=0),"",_xlpm.v))</f>
        <v>354.9</v>
      </c>
      <c r="G12" s="8" cm="1">
        <f t="array" ref="G12">_xlfn.LET(_xlpm.v,IFERROR(INDEX(_xlfn._xlws.FILTER(market_overview[mid],market_overview[category]="US Equity"),ROW()-5),""),IF(OR(_xlpm.v="",_xlpm.v=0),"",_xlpm.v))</f>
        <v>337.65499999999997</v>
      </c>
      <c r="H12" s="59" cm="1">
        <f t="array" ref="H12">_xlfn.LET(_xlpm.v,IFERROR(INDEX(_xlfn._xlws.FILTER(market_overview[spread_bps],market_overview[category]="US Equity"),ROW()-5),""),IF(OR(_xlpm.v="",_xlpm.v=0),"",_xlpm.v))</f>
        <v>1021.4568124268841</v>
      </c>
      <c r="I12" s="46" cm="1">
        <f t="array" ref="I12">IFERROR(INDEX(_xlfn._xlws.FILTER(market_overview[quote_age_seconds],market_overview[category]="US Equity"),7),"")</f>
        <v>5940.5286850000002</v>
      </c>
      <c r="J12" s="3" t="str" cm="1">
        <f t="array" ref="J12">IF(A12="","",IF(INDEX(_xlfn._xlws.FILTER(market_overview[market_expected_open],market_overview[category]="US Equity"),7)="YES","OPEN","CLOSED"))</f>
        <v>CLOSED</v>
      </c>
      <c r="K12" s="3" t="str" cm="1">
        <f t="array" ref="K12">IF(A12="","",_xlfn.LET(_xlpm.mkt,INDEX(_xlfn._xlws.FILTER(market_overview[market_stale_flag],market_overview[category]="US Equity"),7),_xlpm.q,INDEX(_xlfn._xlws.FILTER(market_overview[quote_stale_flag],market_overview[category]="US Equity"),7),_xlpm.op,INDEX(_xlfn._xlws.FILTER(market_overview[market_expected_open],market_overview[category]="US Equity"),7),IF(_xlpm.op="NO","MARKET_CLOSED",IF(OR(_xlpm.mkt="STALE",_xlpm.q="STALE"),"STALE","OK"))))</f>
        <v>MARKET_CLOSED</v>
      </c>
      <c r="L12" s="3" t="str" cm="1">
        <f t="array" ref="L12">IFERROR(INDEX(_xlfn._xlws.FILTER(market_overview[market_outlier_flag],market_overview[category]="US Equity"),7),"")</f>
        <v>OK</v>
      </c>
      <c r="M12" s="3" t="str" cm="1">
        <f t="array" ref="M12">IFERROR(INDEX(_xlfn._xlws.FILTER(market_overview[crossed_flag],market_overview[category]="US Equity"),7),"")</f>
        <v>OK</v>
      </c>
      <c r="N12" s="3" t="str" cm="1">
        <f t="array" ref="N12">IFERROR(INDEX(_xlfn._xlws.FILTER(market_overview[locked_flag],market_overview[category]="US Equity"),7),"")</f>
        <v>OK</v>
      </c>
      <c r="Q12" s="10"/>
      <c r="R12" s="10"/>
      <c r="S12" s="10"/>
      <c r="T12" s="10"/>
      <c r="U12" s="10"/>
      <c r="V12" s="10"/>
      <c r="W12" s="10"/>
      <c r="X12" s="10"/>
      <c r="Y12" s="10"/>
    </row>
    <row r="13" spans="1:25" x14ac:dyDescent="0.2">
      <c r="A13" s="3" t="str" cm="1">
        <f t="array" ref="A13">IFERROR(INDEX(_xlfn._xlws.FILTER(market_overview[symbol],market_overview[category]="US Equity"),8),"")</f>
        <v>LLY</v>
      </c>
      <c r="B13" s="3" t="str" cm="1">
        <f t="array" ref="B13">IFERROR(INDEX(_xlfn._xlws.FILTER(market_overview[name],market_overview[category]="US Equity"),8),"")</f>
        <v>Eli Lilly</v>
      </c>
      <c r="C13" s="8" cm="1">
        <f t="array" ref="C13">IFERROR(INDEX(_xlfn._xlws.FILTER(market_overview[price],market_overview[category]="US Equity"),8),"")</f>
        <v>1183.0899658203125</v>
      </c>
      <c r="D13" s="9" cm="1">
        <f t="array" ref="D13">IFERROR(INDEX(_xlfn._xlws.FILTER(market_overview[move_bps],market_overview[category]="US Equity"),8),"")</f>
        <v>-35.207270816017825</v>
      </c>
      <c r="E13" s="8" cm="1">
        <f t="array" ref="E13">_xlfn.LET(_xlpm.v,IFERROR(INDEX(_xlfn._xlws.FILTER(market_overview[bid],market_overview[category]="US Equity"),ROW()-5),""),IF(OR(_xlpm.v="",_xlpm.v=0),"",_xlpm.v))</f>
        <v>1120.04</v>
      </c>
      <c r="F13" s="8" cm="1">
        <f t="array" ref="F13">_xlfn.LET(_xlpm.v,IFERROR(INDEX(_xlfn._xlws.FILTER(market_overview[ask],market_overview[category]="US Equity"),ROW()-5),""),IF(OR(_xlpm.v="",_xlpm.v=0),"",_xlpm.v))</f>
        <v>1242.08</v>
      </c>
      <c r="G13" s="8" cm="1">
        <f t="array" ref="G13">_xlfn.LET(_xlpm.v,IFERROR(INDEX(_xlfn._xlws.FILTER(market_overview[mid],market_overview[category]="US Equity"),ROW()-5),""),IF(OR(_xlpm.v="",_xlpm.v=0),"",_xlpm.v))</f>
        <v>1181.06</v>
      </c>
      <c r="H13" s="59" cm="1">
        <f t="array" ref="H13">_xlfn.LET(_xlpm.v,IFERROR(INDEX(_xlfn._xlws.FILTER(market_overview[spread_bps],market_overview[category]="US Equity"),ROW()-5),""),IF(OR(_xlpm.v="",_xlpm.v=0),"",_xlpm.v))</f>
        <v>1033.3090613516667</v>
      </c>
      <c r="I13" s="46" cm="1">
        <f t="array" ref="I13">IFERROR(INDEX(_xlfn._xlws.FILTER(market_overview[quote_age_seconds],market_overview[category]="US Equity"),8),"")</f>
        <v>5937.9328770000002</v>
      </c>
      <c r="J13" s="3" t="str" cm="1">
        <f t="array" ref="J13">IF(A13="","",IF(INDEX(_xlfn._xlws.FILTER(market_overview[market_expected_open],market_overview[category]="US Equity"),8)="YES","OPEN","CLOSED"))</f>
        <v>CLOSED</v>
      </c>
      <c r="K13" s="3" t="str" cm="1">
        <f t="array" ref="K13">IF(A13="","",_xlfn.LET(_xlpm.mkt,INDEX(_xlfn._xlws.FILTER(market_overview[market_stale_flag],market_overview[category]="US Equity"),8),_xlpm.q,INDEX(_xlfn._xlws.FILTER(market_overview[quote_stale_flag],market_overview[category]="US Equity"),8),_xlpm.op,INDEX(_xlfn._xlws.FILTER(market_overview[market_expected_open],market_overview[category]="US Equity"),8),IF(_xlpm.op="NO","MARKET_CLOSED",IF(OR(_xlpm.mkt="STALE",_xlpm.q="STALE"),"STALE","OK"))))</f>
        <v>MARKET_CLOSED</v>
      </c>
      <c r="L13" s="3" t="str" cm="1">
        <f t="array" ref="L13">IFERROR(INDEX(_xlfn._xlws.FILTER(market_overview[market_outlier_flag],market_overview[category]="US Equity"),8),"")</f>
        <v>OK</v>
      </c>
      <c r="M13" s="3" t="str" cm="1">
        <f t="array" ref="M13">IFERROR(INDEX(_xlfn._xlws.FILTER(market_overview[crossed_flag],market_overview[category]="US Equity"),8),"")</f>
        <v>OK</v>
      </c>
      <c r="N13" s="3" t="str" cm="1">
        <f t="array" ref="N13">IFERROR(INDEX(_xlfn._xlws.FILTER(market_overview[locked_flag],market_overview[category]="US Equity"),8),"")</f>
        <v>OK</v>
      </c>
      <c r="Q13" s="10"/>
      <c r="R13" s="10"/>
      <c r="S13" s="10"/>
      <c r="T13" s="10"/>
      <c r="U13" s="10"/>
      <c r="V13" s="10"/>
      <c r="W13" s="10"/>
      <c r="X13" s="10"/>
      <c r="Y13" s="10"/>
    </row>
    <row r="14" spans="1:25" x14ac:dyDescent="0.2">
      <c r="A14" s="3" t="str" cm="1">
        <f t="array" ref="A14">IFERROR(INDEX(_xlfn._xlws.FILTER(market_overview[symbol],market_overview[category]="US Equity"),9),"")</f>
        <v>WMT</v>
      </c>
      <c r="B14" s="3" t="str" cm="1">
        <f t="array" ref="B14">IFERROR(INDEX(_xlfn._xlws.FILTER(market_overview[name],market_overview[category]="US Equity"),9),"")</f>
        <v>Walmart</v>
      </c>
      <c r="C14" s="8" cm="1">
        <f t="array" ref="C14">IFERROR(INDEX(_xlfn._xlws.FILTER(market_overview[price],market_overview[category]="US Equity"),9),"")</f>
        <v>107.54000091552734</v>
      </c>
      <c r="D14" s="9" cm="1">
        <f t="array" ref="D14">IFERROR(INDEX(_xlfn._xlws.FILTER(market_overview[move_bps],market_overview[category]="US Equity"),9),"")</f>
        <v>-12.064474148431037</v>
      </c>
      <c r="E14" s="8" cm="1">
        <f t="array" ref="E14">_xlfn.LET(_xlpm.v,IFERROR(INDEX(_xlfn._xlws.FILTER(market_overview[bid],market_overview[category]="US Equity"),ROW()-5),""),IF(OR(_xlpm.v="",_xlpm.v=0),"",_xlpm.v))</f>
        <v>102.89</v>
      </c>
      <c r="F14" s="8" t="str" cm="1">
        <f t="array" ref="F14">_xlfn.LET(_xlpm.v,IFERROR(INDEX(_xlfn._xlws.FILTER(market_overview[ask],market_overview[category]="US Equity"),ROW()-5),""),IF(OR(_xlpm.v="",_xlpm.v=0),"",_xlpm.v))</f>
        <v/>
      </c>
      <c r="G14" s="8" t="str" cm="1">
        <f t="array" ref="G14">_xlfn.LET(_xlpm.v,IFERROR(INDEX(_xlfn._xlws.FILTER(market_overview[mid],market_overview[category]="US Equity"),ROW()-5),""),IF(OR(_xlpm.v="",_xlpm.v=0),"",_xlpm.v))</f>
        <v/>
      </c>
      <c r="H14" s="59" t="str" cm="1">
        <f t="array" ref="H14">_xlfn.LET(_xlpm.v,IFERROR(INDEX(_xlfn._xlws.FILTER(market_overview[spread_bps],market_overview[category]="US Equity"),ROW()-5),""),IF(OR(_xlpm.v="",_xlpm.v=0),"",_xlpm.v))</f>
        <v/>
      </c>
      <c r="I14" s="46" cm="1">
        <f t="array" ref="I14">IFERROR(INDEX(_xlfn._xlws.FILTER(market_overview[quote_age_seconds],market_overview[category]="US Equity"),9),"")</f>
        <v>5938.6265670000003</v>
      </c>
      <c r="J14" s="3" t="str" cm="1">
        <f t="array" ref="J14">IF(A14="","",IF(INDEX(_xlfn._xlws.FILTER(market_overview[market_expected_open],market_overview[category]="US Equity"),9)="YES","OPEN","CLOSED"))</f>
        <v>CLOSED</v>
      </c>
      <c r="K14" s="3" t="str" cm="1">
        <f t="array" ref="K14">IF(A14="","",_xlfn.LET(_xlpm.mkt,INDEX(_xlfn._xlws.FILTER(market_overview[market_stale_flag],market_overview[category]="US Equity"),9),_xlpm.q,INDEX(_xlfn._xlws.FILTER(market_overview[quote_stale_flag],market_overview[category]="US Equity"),9),_xlpm.op,INDEX(_xlfn._xlws.FILTER(market_overview[market_expected_open],market_overview[category]="US Equity"),9),IF(_xlpm.op="NO","MARKET_CLOSED",IF(OR(_xlpm.mkt="STALE",_xlpm.q="STALE"),"STALE","OK"))))</f>
        <v>MARKET_CLOSED</v>
      </c>
      <c r="L14" s="3" t="str" cm="1">
        <f t="array" ref="L14">IFERROR(INDEX(_xlfn._xlws.FILTER(market_overview[market_outlier_flag],market_overview[category]="US Equity"),9),"")</f>
        <v>OK</v>
      </c>
      <c r="M14" s="3" t="str" cm="1">
        <f t="array" ref="M14">IFERROR(INDEX(_xlfn._xlws.FILTER(market_overview[crossed_flag],market_overview[category]="US Equity"),9),"")</f>
        <v>NOT_AVAILABLE</v>
      </c>
      <c r="N14" s="3" t="str" cm="1">
        <f t="array" ref="N14">IFERROR(INDEX(_xlfn._xlws.FILTER(market_overview[locked_flag],market_overview[category]="US Equity"),9),"")</f>
        <v>NOT_AVAILABLE</v>
      </c>
      <c r="Q14" s="10"/>
      <c r="R14" s="10"/>
      <c r="S14" s="10"/>
      <c r="T14" s="10"/>
      <c r="U14" s="10"/>
      <c r="V14" s="10"/>
      <c r="W14" s="10"/>
      <c r="X14" s="10"/>
      <c r="Y14" s="10"/>
    </row>
    <row r="15" spans="1:25" x14ac:dyDescent="0.2">
      <c r="A15" s="3" t="str" cm="1">
        <f t="array" ref="A15">IFERROR(INDEX(_xlfn._xlws.FILTER(market_overview[symbol],market_overview[category]="US Equity"),10),"")</f>
        <v>XOM</v>
      </c>
      <c r="B15" s="3" t="str" cm="1">
        <f t="array" ref="B15">IFERROR(INDEX(_xlfn._xlws.FILTER(market_overview[name],market_overview[category]="US Equity"),10),"")</f>
        <v>Exxon Mobil</v>
      </c>
      <c r="C15" s="8" cm="1">
        <f t="array" ref="C15">IFERROR(INDEX(_xlfn._xlws.FILTER(market_overview[price],market_overview[category]="US Equity"),10),"")</f>
        <v>162.03999328613281</v>
      </c>
      <c r="D15" s="9" cm="1">
        <f t="array" ref="D15">IFERROR(INDEX(_xlfn._xlws.FILTER(market_overview[move_bps],market_overview[category]="US Equity"),10),"")</f>
        <v>-0.61769610839257361</v>
      </c>
      <c r="E15" s="8" cm="1">
        <f t="array" ref="E15">_xlfn.LET(_xlpm.v,IFERROR(INDEX(_xlfn._xlws.FILTER(market_overview[bid],market_overview[category]="US Equity"),ROW()-5),""),IF(OR(_xlpm.v="",_xlpm.v=0),"",_xlpm.v))</f>
        <v>154.57</v>
      </c>
      <c r="F15" s="8" t="str" cm="1">
        <f t="array" ref="F15">_xlfn.LET(_xlpm.v,IFERROR(INDEX(_xlfn._xlws.FILTER(market_overview[ask],market_overview[category]="US Equity"),ROW()-5),""),IF(OR(_xlpm.v="",_xlpm.v=0),"",_xlpm.v))</f>
        <v/>
      </c>
      <c r="G15" s="8" t="str" cm="1">
        <f t="array" ref="G15">_xlfn.LET(_xlpm.v,IFERROR(INDEX(_xlfn._xlws.FILTER(market_overview[mid],market_overview[category]="US Equity"),ROW()-5),""),IF(OR(_xlpm.v="",_xlpm.v=0),"",_xlpm.v))</f>
        <v/>
      </c>
      <c r="H15" s="59" t="str" cm="1">
        <f t="array" ref="H15">_xlfn.LET(_xlpm.v,IFERROR(INDEX(_xlfn._xlws.FILTER(market_overview[spread_bps],market_overview[category]="US Equity"),ROW()-5),""),IF(OR(_xlpm.v="",_xlpm.v=0),"",_xlpm.v))</f>
        <v/>
      </c>
      <c r="I15" s="46" cm="1">
        <f t="array" ref="I15">IFERROR(INDEX(_xlfn._xlws.FILTER(market_overview[quote_age_seconds],market_overview[category]="US Equity"),10),"")</f>
        <v>5938.7022459999998</v>
      </c>
      <c r="J15" s="3" t="str" cm="1">
        <f t="array" ref="J15">IF(A15="","",IF(INDEX(_xlfn._xlws.FILTER(market_overview[market_expected_open],market_overview[category]="US Equity"),10)="YES","OPEN","CLOSED"))</f>
        <v>CLOSED</v>
      </c>
      <c r="K15" s="3" t="str" cm="1">
        <f t="array" ref="K15">IF(A15="","",_xlfn.LET(_xlpm.mkt,INDEX(_xlfn._xlws.FILTER(market_overview[market_stale_flag],market_overview[category]="US Equity"),10),_xlpm.q,INDEX(_xlfn._xlws.FILTER(market_overview[quote_stale_flag],market_overview[category]="US Equity"),10),_xlpm.op,INDEX(_xlfn._xlws.FILTER(market_overview[market_expected_open],market_overview[category]="US Equity"),10),IF(_xlpm.op="NO","MARKET_CLOSED",IF(OR(_xlpm.mkt="STALE",_xlpm.q="STALE"),"STALE","OK"))))</f>
        <v>MARKET_CLOSED</v>
      </c>
      <c r="L15" s="3" t="str" cm="1">
        <f t="array" ref="L15">IFERROR(INDEX(_xlfn._xlws.FILTER(market_overview[market_outlier_flag],market_overview[category]="US Equity"),10),"")</f>
        <v>OK</v>
      </c>
      <c r="M15" s="3" t="str" cm="1">
        <f t="array" ref="M15">IFERROR(INDEX(_xlfn._xlws.FILTER(market_overview[crossed_flag],market_overview[category]="US Equity"),10),"")</f>
        <v>NOT_AVAILABLE</v>
      </c>
      <c r="N15" s="3" t="str" cm="1">
        <f t="array" ref="N15">IFERROR(INDEX(_xlfn._xlws.FILTER(market_overview[locked_flag],market_overview[category]="US Equity"),10),"")</f>
        <v>NOT_AVAILABLE</v>
      </c>
      <c r="Q15" s="10"/>
      <c r="R15" s="10"/>
      <c r="S15" s="10"/>
      <c r="T15" s="10"/>
      <c r="U15" s="10"/>
      <c r="V15" s="10"/>
      <c r="W15" s="10"/>
      <c r="X15" s="10"/>
      <c r="Y15" s="10"/>
    </row>
    <row r="16" spans="1:25" x14ac:dyDescent="0.2">
      <c r="A16" s="3" t="str" cm="1">
        <f t="array" ref="A16">IFERROR(INDEX(_xlfn._xlws.FILTER(market_overview[symbol],market_overview[category]="US Equity"),11),"")</f>
        <v/>
      </c>
      <c r="B16" s="3" t="str" cm="1">
        <f t="array" ref="B16">IFERROR(INDEX(_xlfn._xlws.FILTER(market_overview[name],market_overview[category]="US Equity"),11),"")</f>
        <v/>
      </c>
      <c r="C16" s="8" t="str" cm="1">
        <f t="array" ref="C16">IFERROR(INDEX(_xlfn._xlws.FILTER(market_overview[price],market_overview[category]="US Equity"),11),"")</f>
        <v/>
      </c>
      <c r="D16" s="9" t="str" cm="1">
        <f t="array" ref="D16">IFERROR(INDEX(_xlfn._xlws.FILTER(market_overview[move_bps],market_overview[category]="US Equity"),11),"")</f>
        <v/>
      </c>
      <c r="E16" s="8" t="str" cm="1">
        <f t="array" ref="E16">_xlfn.LET(_xlpm.v,IFERROR(INDEX(_xlfn._xlws.FILTER(market_overview[bid],market_overview[category]="US Equity"),ROW()-5),""),IF(OR(_xlpm.v="",_xlpm.v=0),"",_xlpm.v))</f>
        <v/>
      </c>
      <c r="F16" s="8" t="str" cm="1">
        <f t="array" ref="F16">_xlfn.LET(_xlpm.v,IFERROR(INDEX(_xlfn._xlws.FILTER(market_overview[ask],market_overview[category]="US Equity"),ROW()-5),""),IF(OR(_xlpm.v="",_xlpm.v=0),"",_xlpm.v))</f>
        <v/>
      </c>
      <c r="G16" s="8" t="str" cm="1">
        <f t="array" ref="G16">_xlfn.LET(_xlpm.v,IFERROR(INDEX(_xlfn._xlws.FILTER(market_overview[mid],market_overview[category]="US Equity"),ROW()-5),""),IF(OR(_xlpm.v="",_xlpm.v=0),"",_xlpm.v))</f>
        <v/>
      </c>
      <c r="H16" s="59" t="str" cm="1">
        <f t="array" ref="H16">_xlfn.LET(_xlpm.v,IFERROR(INDEX(_xlfn._xlws.FILTER(market_overview[spread_bps],market_overview[category]="US Equity"),ROW()-5),""),IF(OR(_xlpm.v="",_xlpm.v=0),"",_xlpm.v))</f>
        <v/>
      </c>
      <c r="I16" s="46" t="str" cm="1">
        <f t="array" ref="I16">IFERROR(INDEX(_xlfn._xlws.FILTER(market_overview[quote_age_seconds],market_overview[category]="US Equity"),11),"")</f>
        <v/>
      </c>
      <c r="J16" s="3" t="str" cm="1">
        <f t="array" ref="J16">IF(A16="","",IF(INDEX(_xlfn._xlws.FILTER(market_overview[market_expected_open],market_overview[category]="US Equity"),11)="YES","OPEN","CLOSED"))</f>
        <v/>
      </c>
      <c r="K16" s="3" t="str" cm="1">
        <f t="array" ref="K16">IF(A16="","",_xlfn.LET(_xlpm.mkt,INDEX(_xlfn._xlws.FILTER(market_overview[market_stale_flag],market_overview[category]="US Equity"),11),_xlpm.q,INDEX(_xlfn._xlws.FILTER(market_overview[quote_stale_flag],market_overview[category]="US Equity"),11),_xlpm.op,INDEX(_xlfn._xlws.FILTER(market_overview[market_expected_open],market_overview[category]="US Equity"),11),IF(_xlpm.op="NO","MARKET_CLOSED",IF(OR(_xlpm.mkt="STALE",_xlpm.q="STALE"),"STALE","OK"))))</f>
        <v/>
      </c>
      <c r="L16" s="3" t="str" cm="1">
        <f t="array" ref="L16">IFERROR(INDEX(_xlfn._xlws.FILTER(market_overview[market_outlier_flag],market_overview[category]="US Equity"),11),"")</f>
        <v/>
      </c>
      <c r="M16" s="3" t="str" cm="1">
        <f t="array" ref="M16">IFERROR(INDEX(_xlfn._xlws.FILTER(market_overview[crossed_flag],market_overview[category]="US Equity"),11),"")</f>
        <v/>
      </c>
      <c r="N16" s="3" t="str" cm="1">
        <f t="array" ref="N16">IFERROR(INDEX(_xlfn._xlws.FILTER(market_overview[locked_flag],market_overview[category]="US Equity"),11),"")</f>
        <v/>
      </c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">
      <c r="A17" s="3" t="str" cm="1">
        <f t="array" ref="A17">IFERROR(INDEX(_xlfn._xlws.FILTER(market_overview[symbol],market_overview[category]="US Equity"),12),"")</f>
        <v/>
      </c>
      <c r="B17" s="3" t="str" cm="1">
        <f t="array" ref="B17">IFERROR(INDEX(_xlfn._xlws.FILTER(market_overview[name],market_overview[category]="US Equity"),12),"")</f>
        <v/>
      </c>
      <c r="C17" s="8" t="str" cm="1">
        <f t="array" ref="C17">IFERROR(INDEX(_xlfn._xlws.FILTER(market_overview[price],market_overview[category]="US Equity"),12),"")</f>
        <v/>
      </c>
      <c r="D17" s="9" t="str" cm="1">
        <f t="array" ref="D17">IFERROR(INDEX(_xlfn._xlws.FILTER(market_overview[move_bps],market_overview[category]="US Equity"),12),"")</f>
        <v/>
      </c>
      <c r="E17" s="8" t="str" cm="1">
        <f t="array" ref="E17">_xlfn.LET(_xlpm.v,IFERROR(INDEX(_xlfn._xlws.FILTER(market_overview[bid],market_overview[category]="US Equity"),ROW()-5),""),IF(OR(_xlpm.v="",_xlpm.v=0),"",_xlpm.v))</f>
        <v/>
      </c>
      <c r="F17" s="8" t="str" cm="1">
        <f t="array" ref="F17">_xlfn.LET(_xlpm.v,IFERROR(INDEX(_xlfn._xlws.FILTER(market_overview[ask],market_overview[category]="US Equity"),ROW()-5),""),IF(OR(_xlpm.v="",_xlpm.v=0),"",_xlpm.v))</f>
        <v/>
      </c>
      <c r="G17" s="8" t="str" cm="1">
        <f t="array" ref="G17">_xlfn.LET(_xlpm.v,IFERROR(INDEX(_xlfn._xlws.FILTER(market_overview[mid],market_overview[category]="US Equity"),ROW()-5),""),IF(OR(_xlpm.v="",_xlpm.v=0),"",_xlpm.v))</f>
        <v/>
      </c>
      <c r="H17" s="59" t="str" cm="1">
        <f t="array" ref="H17">_xlfn.LET(_xlpm.v,IFERROR(INDEX(_xlfn._xlws.FILTER(market_overview[spread_bps],market_overview[category]="US Equity"),ROW()-5),""),IF(OR(_xlpm.v="",_xlpm.v=0),"",_xlpm.v))</f>
        <v/>
      </c>
      <c r="I17" s="46" t="str" cm="1">
        <f t="array" ref="I17">IFERROR(INDEX(_xlfn._xlws.FILTER(market_overview[quote_age_seconds],market_overview[category]="US Equity"),12),"")</f>
        <v/>
      </c>
      <c r="J17" s="3" t="str" cm="1">
        <f t="array" ref="J17">IF(A17="","",IF(INDEX(_xlfn._xlws.FILTER(market_overview[market_expected_open],market_overview[category]="US Equity"),12)="YES","OPEN","CLOSED"))</f>
        <v/>
      </c>
      <c r="K17" s="3" t="str" cm="1">
        <f t="array" ref="K17">IF(A17="","",_xlfn.LET(_xlpm.mkt,INDEX(_xlfn._xlws.FILTER(market_overview[market_stale_flag],market_overview[category]="US Equity"),12),_xlpm.q,INDEX(_xlfn._xlws.FILTER(market_overview[quote_stale_flag],market_overview[category]="US Equity"),12),_xlpm.op,INDEX(_xlfn._xlws.FILTER(market_overview[market_expected_open],market_overview[category]="US Equity"),12),IF(_xlpm.op="NO","MARKET_CLOSED",IF(OR(_xlpm.mkt="STALE",_xlpm.q="STALE"),"STALE","OK"))))</f>
        <v/>
      </c>
      <c r="L17" s="3" t="str" cm="1">
        <f t="array" ref="L17">IFERROR(INDEX(_xlfn._xlws.FILTER(market_overview[market_outlier_flag],market_overview[category]="US Equity"),12),"")</f>
        <v/>
      </c>
      <c r="M17" s="3" t="str" cm="1">
        <f t="array" ref="M17">IFERROR(INDEX(_xlfn._xlws.FILTER(market_overview[crossed_flag],market_overview[category]="US Equity"),12),"")</f>
        <v/>
      </c>
      <c r="N17" s="3" t="str" cm="1">
        <f t="array" ref="N17">IFERROR(INDEX(_xlfn._xlws.FILTER(market_overview[locked_flag],market_overview[category]="US Equity"),12),"")</f>
        <v/>
      </c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2">
      <c r="A18" s="3" t="str" cm="1">
        <f t="array" ref="A18">IFERROR(INDEX(_xlfn._xlws.FILTER(market_overview[symbol],market_overview[category]="US Equity"),13),"")</f>
        <v/>
      </c>
      <c r="B18" s="3" t="str" cm="1">
        <f t="array" ref="B18">IFERROR(INDEX(_xlfn._xlws.FILTER(market_overview[name],market_overview[category]="US Equity"),13),"")</f>
        <v/>
      </c>
      <c r="C18" s="8" t="str" cm="1">
        <f t="array" ref="C18">IFERROR(INDEX(_xlfn._xlws.FILTER(market_overview[price],market_overview[category]="US Equity"),13),"")</f>
        <v/>
      </c>
      <c r="D18" s="9" t="str" cm="1">
        <f t="array" ref="D18">IFERROR(INDEX(_xlfn._xlws.FILTER(market_overview[move_bps],market_overview[category]="US Equity"),13),"")</f>
        <v/>
      </c>
      <c r="E18" s="8" t="str" cm="1">
        <f t="array" ref="E18">_xlfn.LET(_xlpm.v,IFERROR(INDEX(_xlfn._xlws.FILTER(market_overview[bid],market_overview[category]="US Equity"),ROW()-5),""),IF(OR(_xlpm.v="",_xlpm.v=0),"",_xlpm.v))</f>
        <v/>
      </c>
      <c r="F18" s="8" t="str" cm="1">
        <f t="array" ref="F18">_xlfn.LET(_xlpm.v,IFERROR(INDEX(_xlfn._xlws.FILTER(market_overview[ask],market_overview[category]="US Equity"),ROW()-5),""),IF(OR(_xlpm.v="",_xlpm.v=0),"",_xlpm.v))</f>
        <v/>
      </c>
      <c r="G18" s="8" t="str" cm="1">
        <f t="array" ref="G18">_xlfn.LET(_xlpm.v,IFERROR(INDEX(_xlfn._xlws.FILTER(market_overview[mid],market_overview[category]="US Equity"),ROW()-5),""),IF(OR(_xlpm.v="",_xlpm.v=0),"",_xlpm.v))</f>
        <v/>
      </c>
      <c r="H18" s="59" t="str" cm="1">
        <f t="array" ref="H18">_xlfn.LET(_xlpm.v,IFERROR(INDEX(_xlfn._xlws.FILTER(market_overview[spread_bps],market_overview[category]="US Equity"),ROW()-5),""),IF(OR(_xlpm.v="",_xlpm.v=0),"",_xlpm.v))</f>
        <v/>
      </c>
      <c r="I18" s="46" t="str" cm="1">
        <f t="array" ref="I18">IFERROR(INDEX(_xlfn._xlws.FILTER(market_overview[quote_age_seconds],market_overview[category]="US Equity"),13),"")</f>
        <v/>
      </c>
      <c r="J18" s="3" t="str" cm="1">
        <f t="array" ref="J18">IF(A18="","",IF(INDEX(_xlfn._xlws.FILTER(market_overview[market_expected_open],market_overview[category]="US Equity"),13)="YES","OPEN","CLOSED"))</f>
        <v/>
      </c>
      <c r="K18" s="3" t="str" cm="1">
        <f t="array" ref="K18">IF(A18="","",_xlfn.LET(_xlpm.mkt,INDEX(_xlfn._xlws.FILTER(market_overview[market_stale_flag],market_overview[category]="US Equity"),13),_xlpm.q,INDEX(_xlfn._xlws.FILTER(market_overview[quote_stale_flag],market_overview[category]="US Equity"),13),_xlpm.op,INDEX(_xlfn._xlws.FILTER(market_overview[market_expected_open],market_overview[category]="US Equity"),13),IF(_xlpm.op="NO","MARKET_CLOSED",IF(OR(_xlpm.mkt="STALE",_xlpm.q="STALE"),"STALE","OK"))))</f>
        <v/>
      </c>
      <c r="L18" s="3" t="str" cm="1">
        <f t="array" ref="L18">IFERROR(INDEX(_xlfn._xlws.FILTER(market_overview[market_outlier_flag],market_overview[category]="US Equity"),13),"")</f>
        <v/>
      </c>
      <c r="M18" s="3" t="str" cm="1">
        <f t="array" ref="M18">IFERROR(INDEX(_xlfn._xlws.FILTER(market_overview[crossed_flag],market_overview[category]="US Equity"),13),"")</f>
        <v/>
      </c>
      <c r="N18" s="3" t="str" cm="1">
        <f t="array" ref="N18">IFERROR(INDEX(_xlfn._xlws.FILTER(market_overview[locked_flag],market_overview[category]="US Equity"),13),"")</f>
        <v/>
      </c>
      <c r="Q18" s="10"/>
      <c r="R18" s="10"/>
      <c r="S18" s="10"/>
      <c r="T18" s="10"/>
      <c r="U18" s="10"/>
      <c r="V18" s="10"/>
      <c r="W18" s="10"/>
      <c r="X18" s="10"/>
      <c r="Y18" s="10"/>
    </row>
    <row r="19" spans="1:25" x14ac:dyDescent="0.2">
      <c r="A19" s="3" t="str" cm="1">
        <f t="array" ref="A19">IFERROR(INDEX(_xlfn._xlws.FILTER(market_overview[symbol],market_overview[category]="US Equity"),14),"")</f>
        <v/>
      </c>
      <c r="B19" s="3" t="str" cm="1">
        <f t="array" ref="B19">IFERROR(INDEX(_xlfn._xlws.FILTER(market_overview[name],market_overview[category]="US Equity"),14),"")</f>
        <v/>
      </c>
      <c r="C19" s="8" t="str" cm="1">
        <f t="array" ref="C19">IFERROR(INDEX(_xlfn._xlws.FILTER(market_overview[price],market_overview[category]="US Equity"),14),"")</f>
        <v/>
      </c>
      <c r="D19" s="9" t="str" cm="1">
        <f t="array" ref="D19">IFERROR(INDEX(_xlfn._xlws.FILTER(market_overview[move_bps],market_overview[category]="US Equity"),14),"")</f>
        <v/>
      </c>
      <c r="E19" s="8" t="str" cm="1">
        <f t="array" ref="E19">_xlfn.LET(_xlpm.v,IFERROR(INDEX(_xlfn._xlws.FILTER(market_overview[bid],market_overview[category]="US Equity"),ROW()-5),""),IF(OR(_xlpm.v="",_xlpm.v=0),"",_xlpm.v))</f>
        <v/>
      </c>
      <c r="F19" s="8" t="str" cm="1">
        <f t="array" ref="F19">_xlfn.LET(_xlpm.v,IFERROR(INDEX(_xlfn._xlws.FILTER(market_overview[ask],market_overview[category]="US Equity"),ROW()-5),""),IF(OR(_xlpm.v="",_xlpm.v=0),"",_xlpm.v))</f>
        <v/>
      </c>
      <c r="G19" s="8" t="str" cm="1">
        <f t="array" ref="G19">_xlfn.LET(_xlpm.v,IFERROR(INDEX(_xlfn._xlws.FILTER(market_overview[mid],market_overview[category]="US Equity"),ROW()-5),""),IF(OR(_xlpm.v="",_xlpm.v=0),"",_xlpm.v))</f>
        <v/>
      </c>
      <c r="H19" s="59" t="str" cm="1">
        <f t="array" ref="H19">_xlfn.LET(_xlpm.v,IFERROR(INDEX(_xlfn._xlws.FILTER(market_overview[spread_bps],market_overview[category]="US Equity"),ROW()-5),""),IF(OR(_xlpm.v="",_xlpm.v=0),"",_xlpm.v))</f>
        <v/>
      </c>
      <c r="I19" s="46" t="str" cm="1">
        <f t="array" ref="I19">IFERROR(INDEX(_xlfn._xlws.FILTER(market_overview[quote_age_seconds],market_overview[category]="US Equity"),14),"")</f>
        <v/>
      </c>
      <c r="J19" s="3" t="str" cm="1">
        <f t="array" ref="J19">IF(A19="","",IF(INDEX(_xlfn._xlws.FILTER(market_overview[market_expected_open],market_overview[category]="US Equity"),14)="YES","OPEN","CLOSED"))</f>
        <v/>
      </c>
      <c r="K19" s="3" t="str" cm="1">
        <f t="array" ref="K19">IF(A19="","",_xlfn.LET(_xlpm.mkt,INDEX(_xlfn._xlws.FILTER(market_overview[market_stale_flag],market_overview[category]="US Equity"),14),_xlpm.q,INDEX(_xlfn._xlws.FILTER(market_overview[quote_stale_flag],market_overview[category]="US Equity"),14),_xlpm.op,INDEX(_xlfn._xlws.FILTER(market_overview[market_expected_open],market_overview[category]="US Equity"),14),IF(_xlpm.op="NO","MARKET_CLOSED",IF(OR(_xlpm.mkt="STALE",_xlpm.q="STALE"),"STALE","OK"))))</f>
        <v/>
      </c>
      <c r="L19" s="3" t="str" cm="1">
        <f t="array" ref="L19">IFERROR(INDEX(_xlfn._xlws.FILTER(market_overview[market_outlier_flag],market_overview[category]="US Equity"),14),"")</f>
        <v/>
      </c>
      <c r="M19" s="3" t="str" cm="1">
        <f t="array" ref="M19">IFERROR(INDEX(_xlfn._xlws.FILTER(market_overview[crossed_flag],market_overview[category]="US Equity"),14),"")</f>
        <v/>
      </c>
      <c r="N19" s="3" t="str" cm="1">
        <f t="array" ref="N19">IFERROR(INDEX(_xlfn._xlws.FILTER(market_overview[locked_flag],market_overview[category]="US Equity"),14),"")</f>
        <v/>
      </c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">
      <c r="A20" s="3" t="str" cm="1">
        <f t="array" ref="A20">IFERROR(INDEX(_xlfn._xlws.FILTER(market_overview[symbol],market_overview[category]="US Equity"),15),"")</f>
        <v/>
      </c>
      <c r="B20" s="3" t="str" cm="1">
        <f t="array" ref="B20">IFERROR(INDEX(_xlfn._xlws.FILTER(market_overview[name],market_overview[category]="US Equity"),15),"")</f>
        <v/>
      </c>
      <c r="C20" s="8" t="str" cm="1">
        <f t="array" ref="C20">IFERROR(INDEX(_xlfn._xlws.FILTER(market_overview[price],market_overview[category]="US Equity"),15),"")</f>
        <v/>
      </c>
      <c r="D20" s="9" t="str" cm="1">
        <f t="array" ref="D20">IFERROR(INDEX(_xlfn._xlws.FILTER(market_overview[move_bps],market_overview[category]="US Equity"),15),"")</f>
        <v/>
      </c>
      <c r="E20" s="8" t="str" cm="1">
        <f t="array" ref="E20">_xlfn.LET(_xlpm.v,IFERROR(INDEX(_xlfn._xlws.FILTER(market_overview[bid],market_overview[category]="US Equity"),ROW()-5),""),IF(OR(_xlpm.v="",_xlpm.v=0),"",_xlpm.v))</f>
        <v/>
      </c>
      <c r="F20" s="8" t="str" cm="1">
        <f t="array" ref="F20">_xlfn.LET(_xlpm.v,IFERROR(INDEX(_xlfn._xlws.FILTER(market_overview[ask],market_overview[category]="US Equity"),ROW()-5),""),IF(OR(_xlpm.v="",_xlpm.v=0),"",_xlpm.v))</f>
        <v/>
      </c>
      <c r="G20" s="8" t="str" cm="1">
        <f t="array" ref="G20">_xlfn.LET(_xlpm.v,IFERROR(INDEX(_xlfn._xlws.FILTER(market_overview[mid],market_overview[category]="US Equity"),ROW()-5),""),IF(OR(_xlpm.v="",_xlpm.v=0),"",_xlpm.v))</f>
        <v/>
      </c>
      <c r="H20" s="59" t="str" cm="1">
        <f t="array" ref="H20">_xlfn.LET(_xlpm.v,IFERROR(INDEX(_xlfn._xlws.FILTER(market_overview[spread_bps],market_overview[category]="US Equity"),ROW()-5),""),IF(OR(_xlpm.v="",_xlpm.v=0),"",_xlpm.v))</f>
        <v/>
      </c>
      <c r="I20" s="46" t="str" cm="1">
        <f t="array" ref="I20">IFERROR(INDEX(_xlfn._xlws.FILTER(market_overview[quote_age_seconds],market_overview[category]="US Equity"),15),"")</f>
        <v/>
      </c>
      <c r="J20" s="3" t="str" cm="1">
        <f t="array" ref="J20">IF(A20="","",IF(INDEX(_xlfn._xlws.FILTER(market_overview[market_expected_open],market_overview[category]="US Equity"),15)="YES","OPEN","CLOSED"))</f>
        <v/>
      </c>
      <c r="K20" s="3" t="str" cm="1">
        <f t="array" ref="K20">IF(A20="","",_xlfn.LET(_xlpm.mkt,INDEX(_xlfn._xlws.FILTER(market_overview[market_stale_flag],market_overview[category]="US Equity"),15),_xlpm.q,INDEX(_xlfn._xlws.FILTER(market_overview[quote_stale_flag],market_overview[category]="US Equity"),15),_xlpm.op,INDEX(_xlfn._xlws.FILTER(market_overview[market_expected_open],market_overview[category]="US Equity"),15),IF(_xlpm.op="NO","MARKET_CLOSED",IF(OR(_xlpm.mkt="STALE",_xlpm.q="STALE"),"STALE","OK"))))</f>
        <v/>
      </c>
      <c r="L20" s="3" t="str" cm="1">
        <f t="array" ref="L20">IFERROR(INDEX(_xlfn._xlws.FILTER(market_overview[market_outlier_flag],market_overview[category]="US Equity"),15),"")</f>
        <v/>
      </c>
      <c r="M20" s="3" t="str" cm="1">
        <f t="array" ref="M20">IFERROR(INDEX(_xlfn._xlws.FILTER(market_overview[crossed_flag],market_overview[category]="US Equity"),15),"")</f>
        <v/>
      </c>
      <c r="N20" s="3" t="str" cm="1">
        <f t="array" ref="N20">IFERROR(INDEX(_xlfn._xlws.FILTER(market_overview[locked_flag],market_overview[category]="US Equity"),15),"")</f>
        <v/>
      </c>
      <c r="Q20" s="10"/>
      <c r="R20" s="10"/>
      <c r="S20" s="10"/>
      <c r="T20" s="10"/>
      <c r="U20" s="10"/>
      <c r="V20" s="10"/>
      <c r="W20" s="10"/>
      <c r="X20" s="10"/>
      <c r="Y20" s="10"/>
    </row>
    <row r="21" spans="1:25" x14ac:dyDescent="0.2">
      <c r="A21" s="3" t="str" cm="1">
        <f t="array" ref="A21">IFERROR(INDEX(_xlfn._xlws.FILTER(market_overview[symbol],market_overview[category]="US Equity"),16),"")</f>
        <v/>
      </c>
      <c r="B21" s="3" t="str" cm="1">
        <f t="array" ref="B21">IFERROR(INDEX(_xlfn._xlws.FILTER(market_overview[name],market_overview[category]="US Equity"),16),"")</f>
        <v/>
      </c>
      <c r="C21" s="8" t="str" cm="1">
        <f t="array" ref="C21">IFERROR(INDEX(_xlfn._xlws.FILTER(market_overview[price],market_overview[category]="US Equity"),16),"")</f>
        <v/>
      </c>
      <c r="D21" s="9" t="str" cm="1">
        <f t="array" ref="D21">IFERROR(INDEX(_xlfn._xlws.FILTER(market_overview[move_bps],market_overview[category]="US Equity"),16),"")</f>
        <v/>
      </c>
      <c r="E21" s="8" t="str" cm="1">
        <f t="array" ref="E21">_xlfn.LET(_xlpm.v,IFERROR(INDEX(_xlfn._xlws.FILTER(market_overview[bid],market_overview[category]="US Equity"),ROW()-5),""),IF(OR(_xlpm.v="",_xlpm.v=0),"",_xlpm.v))</f>
        <v/>
      </c>
      <c r="F21" s="8" t="str" cm="1">
        <f t="array" ref="F21">_xlfn.LET(_xlpm.v,IFERROR(INDEX(_xlfn._xlws.FILTER(market_overview[ask],market_overview[category]="US Equity"),ROW()-5),""),IF(OR(_xlpm.v="",_xlpm.v=0),"",_xlpm.v))</f>
        <v/>
      </c>
      <c r="G21" s="8" t="str" cm="1">
        <f t="array" ref="G21">_xlfn.LET(_xlpm.v,IFERROR(INDEX(_xlfn._xlws.FILTER(market_overview[mid],market_overview[category]="US Equity"),ROW()-5),""),IF(OR(_xlpm.v="",_xlpm.v=0),"",_xlpm.v))</f>
        <v/>
      </c>
      <c r="H21" s="59" t="str" cm="1">
        <f t="array" ref="H21">_xlfn.LET(_xlpm.v,IFERROR(INDEX(_xlfn._xlws.FILTER(market_overview[spread_bps],market_overview[category]="US Equity"),ROW()-5),""),IF(OR(_xlpm.v="",_xlpm.v=0),"",_xlpm.v))</f>
        <v/>
      </c>
      <c r="I21" s="46" t="str" cm="1">
        <f t="array" ref="I21">IFERROR(INDEX(_xlfn._xlws.FILTER(market_overview[quote_age_seconds],market_overview[category]="US Equity"),16),"")</f>
        <v/>
      </c>
      <c r="J21" s="3" t="str" cm="1">
        <f t="array" ref="J21">IF(A21="","",IF(INDEX(_xlfn._xlws.FILTER(market_overview[market_expected_open],market_overview[category]="US Equity"),16)="YES","OPEN","CLOSED"))</f>
        <v/>
      </c>
      <c r="K21" s="3" t="str" cm="1">
        <f t="array" ref="K21">IF(A21="","",_xlfn.LET(_xlpm.mkt,INDEX(_xlfn._xlws.FILTER(market_overview[market_stale_flag],market_overview[category]="US Equity"),16),_xlpm.q,INDEX(_xlfn._xlws.FILTER(market_overview[quote_stale_flag],market_overview[category]="US Equity"),16),_xlpm.op,INDEX(_xlfn._xlws.FILTER(market_overview[market_expected_open],market_overview[category]="US Equity"),16),IF(_xlpm.op="NO","MARKET_CLOSED",IF(OR(_xlpm.mkt="STALE",_xlpm.q="STALE"),"STALE","OK"))))</f>
        <v/>
      </c>
      <c r="L21" s="3" t="str" cm="1">
        <f t="array" ref="L21">IFERROR(INDEX(_xlfn._xlws.FILTER(market_overview[market_outlier_flag],market_overview[category]="US Equity"),16),"")</f>
        <v/>
      </c>
      <c r="M21" s="3" t="str" cm="1">
        <f t="array" ref="M21">IFERROR(INDEX(_xlfn._xlws.FILTER(market_overview[crossed_flag],market_overview[category]="US Equity"),16),"")</f>
        <v/>
      </c>
      <c r="N21" s="3" t="str" cm="1">
        <f t="array" ref="N21">IFERROR(INDEX(_xlfn._xlws.FILTER(market_overview[locked_flag],market_overview[category]="US Equity"),16),"")</f>
        <v/>
      </c>
      <c r="Q21" s="10"/>
      <c r="R21" s="10"/>
      <c r="S21" s="10"/>
      <c r="T21" s="10"/>
      <c r="U21" s="10"/>
      <c r="V21" s="10"/>
      <c r="W21" s="10"/>
      <c r="X21" s="10"/>
      <c r="Y21" s="10"/>
    </row>
    <row r="22" spans="1:25" x14ac:dyDescent="0.2">
      <c r="A22" s="3" t="str" cm="1">
        <f t="array" ref="A22">IFERROR(INDEX(_xlfn._xlws.FILTER(market_overview[symbol],market_overview[category]="US Equity"),17),"")</f>
        <v/>
      </c>
      <c r="B22" s="3" t="str" cm="1">
        <f t="array" ref="B22">IFERROR(INDEX(_xlfn._xlws.FILTER(market_overview[name],market_overview[category]="US Equity"),17),"")</f>
        <v/>
      </c>
      <c r="C22" s="8" t="str" cm="1">
        <f t="array" ref="C22">IFERROR(INDEX(_xlfn._xlws.FILTER(market_overview[price],market_overview[category]="US Equity"),17),"")</f>
        <v/>
      </c>
      <c r="D22" s="9" t="str" cm="1">
        <f t="array" ref="D22">IFERROR(INDEX(_xlfn._xlws.FILTER(market_overview[move_bps],market_overview[category]="US Equity"),17),"")</f>
        <v/>
      </c>
      <c r="E22" s="8" t="str" cm="1">
        <f t="array" ref="E22">_xlfn.LET(_xlpm.v,IFERROR(INDEX(_xlfn._xlws.FILTER(market_overview[bid],market_overview[category]="US Equity"),ROW()-5),""),IF(OR(_xlpm.v="",_xlpm.v=0),"",_xlpm.v))</f>
        <v/>
      </c>
      <c r="F22" s="8" t="str" cm="1">
        <f t="array" ref="F22">_xlfn.LET(_xlpm.v,IFERROR(INDEX(_xlfn._xlws.FILTER(market_overview[ask],market_overview[category]="US Equity"),ROW()-5),""),IF(OR(_xlpm.v="",_xlpm.v=0),"",_xlpm.v))</f>
        <v/>
      </c>
      <c r="G22" s="8" t="str" cm="1">
        <f t="array" ref="G22">_xlfn.LET(_xlpm.v,IFERROR(INDEX(_xlfn._xlws.FILTER(market_overview[mid],market_overview[category]="US Equity"),ROW()-5),""),IF(OR(_xlpm.v="",_xlpm.v=0),"",_xlpm.v))</f>
        <v/>
      </c>
      <c r="H22" s="59" t="str" cm="1">
        <f t="array" ref="H22">_xlfn.LET(_xlpm.v,IFERROR(INDEX(_xlfn._xlws.FILTER(market_overview[spread_bps],market_overview[category]="US Equity"),ROW()-5),""),IF(OR(_xlpm.v="",_xlpm.v=0),"",_xlpm.v))</f>
        <v/>
      </c>
      <c r="I22" s="46" t="str" cm="1">
        <f t="array" ref="I22">IFERROR(INDEX(_xlfn._xlws.FILTER(market_overview[quote_age_seconds],market_overview[category]="US Equity"),17),"")</f>
        <v/>
      </c>
      <c r="J22" s="3" t="str" cm="1">
        <f t="array" ref="J22">IF(A22="","",IF(INDEX(_xlfn._xlws.FILTER(market_overview[market_expected_open],market_overview[category]="US Equity"),17)="YES","OPEN","CLOSED"))</f>
        <v/>
      </c>
      <c r="K22" s="3" t="str" cm="1">
        <f t="array" ref="K22">IF(A22="","",_xlfn.LET(_xlpm.mkt,INDEX(_xlfn._xlws.FILTER(market_overview[market_stale_flag],market_overview[category]="US Equity"),17),_xlpm.q,INDEX(_xlfn._xlws.FILTER(market_overview[quote_stale_flag],market_overview[category]="US Equity"),17),_xlpm.op,INDEX(_xlfn._xlws.FILTER(market_overview[market_expected_open],market_overview[category]="US Equity"),17),IF(_xlpm.op="NO","MARKET_CLOSED",IF(OR(_xlpm.mkt="STALE",_xlpm.q="STALE"),"STALE","OK"))))</f>
        <v/>
      </c>
      <c r="L22" s="3" t="str" cm="1">
        <f t="array" ref="L22">IFERROR(INDEX(_xlfn._xlws.FILTER(market_overview[market_outlier_flag],market_overview[category]="US Equity"),17),"")</f>
        <v/>
      </c>
      <c r="M22" s="3" t="str" cm="1">
        <f t="array" ref="M22">IFERROR(INDEX(_xlfn._xlws.FILTER(market_overview[crossed_flag],market_overview[category]="US Equity"),17),"")</f>
        <v/>
      </c>
      <c r="N22" s="3" t="str" cm="1">
        <f t="array" ref="N22">IFERROR(INDEX(_xlfn._xlws.FILTER(market_overview[locked_flag],market_overview[category]="US Equity"),17),"")</f>
        <v/>
      </c>
      <c r="Q22" s="10"/>
      <c r="R22" s="10"/>
      <c r="S22" s="10"/>
      <c r="T22" s="10"/>
      <c r="U22" s="10"/>
      <c r="V22" s="10"/>
      <c r="W22" s="10"/>
      <c r="X22" s="10"/>
      <c r="Y22" s="10"/>
    </row>
    <row r="23" spans="1:25" x14ac:dyDescent="0.2">
      <c r="A23" s="3" t="str" cm="1">
        <f t="array" ref="A23">IFERROR(INDEX(_xlfn._xlws.FILTER(market_overview[symbol],market_overview[category]="US Equity"),18),"")</f>
        <v/>
      </c>
      <c r="B23" s="3" t="str" cm="1">
        <f t="array" ref="B23">IFERROR(INDEX(_xlfn._xlws.FILTER(market_overview[name],market_overview[category]="US Equity"),18),"")</f>
        <v/>
      </c>
      <c r="C23" s="8" t="str" cm="1">
        <f t="array" ref="C23">IFERROR(INDEX(_xlfn._xlws.FILTER(market_overview[price],market_overview[category]="US Equity"),18),"")</f>
        <v/>
      </c>
      <c r="D23" s="9" t="str" cm="1">
        <f t="array" ref="D23">IFERROR(INDEX(_xlfn._xlws.FILTER(market_overview[move_bps],market_overview[category]="US Equity"),18),"")</f>
        <v/>
      </c>
      <c r="E23" s="8" t="str" cm="1">
        <f t="array" ref="E23">_xlfn.LET(_xlpm.v,IFERROR(INDEX(_xlfn._xlws.FILTER(market_overview[bid],market_overview[category]="US Equity"),ROW()-5),""),IF(OR(_xlpm.v="",_xlpm.v=0),"",_xlpm.v))</f>
        <v/>
      </c>
      <c r="F23" s="8" t="str" cm="1">
        <f t="array" ref="F23">_xlfn.LET(_xlpm.v,IFERROR(INDEX(_xlfn._xlws.FILTER(market_overview[ask],market_overview[category]="US Equity"),ROW()-5),""),IF(OR(_xlpm.v="",_xlpm.v=0),"",_xlpm.v))</f>
        <v/>
      </c>
      <c r="G23" s="8" t="str" cm="1">
        <f t="array" ref="G23">_xlfn.LET(_xlpm.v,IFERROR(INDEX(_xlfn._xlws.FILTER(market_overview[mid],market_overview[category]="US Equity"),ROW()-5),""),IF(OR(_xlpm.v="",_xlpm.v=0),"",_xlpm.v))</f>
        <v/>
      </c>
      <c r="H23" s="59" t="str" cm="1">
        <f t="array" ref="H23">_xlfn.LET(_xlpm.v,IFERROR(INDEX(_xlfn._xlws.FILTER(market_overview[spread_bps],market_overview[category]="US Equity"),ROW()-5),""),IF(OR(_xlpm.v="",_xlpm.v=0),"",_xlpm.v))</f>
        <v/>
      </c>
      <c r="I23" s="46" t="str" cm="1">
        <f t="array" ref="I23">IFERROR(INDEX(_xlfn._xlws.FILTER(market_overview[quote_age_seconds],market_overview[category]="US Equity"),18),"")</f>
        <v/>
      </c>
      <c r="J23" s="3" t="str" cm="1">
        <f t="array" ref="J23">IF(A23="","",IF(INDEX(_xlfn._xlws.FILTER(market_overview[market_expected_open],market_overview[category]="US Equity"),18)="YES","OPEN","CLOSED"))</f>
        <v/>
      </c>
      <c r="K23" s="3" t="str" cm="1">
        <f t="array" ref="K23">IF(A23="","",_xlfn.LET(_xlpm.mkt,INDEX(_xlfn._xlws.FILTER(market_overview[market_stale_flag],market_overview[category]="US Equity"),18),_xlpm.q,INDEX(_xlfn._xlws.FILTER(market_overview[quote_stale_flag],market_overview[category]="US Equity"),18),_xlpm.op,INDEX(_xlfn._xlws.FILTER(market_overview[market_expected_open],market_overview[category]="US Equity"),18),IF(_xlpm.op="NO","MARKET_CLOSED",IF(OR(_xlpm.mkt="STALE",_xlpm.q="STALE"),"STALE","OK"))))</f>
        <v/>
      </c>
      <c r="L23" s="3" t="str" cm="1">
        <f t="array" ref="L23">IFERROR(INDEX(_xlfn._xlws.FILTER(market_overview[market_outlier_flag],market_overview[category]="US Equity"),18),"")</f>
        <v/>
      </c>
      <c r="M23" s="3" t="str" cm="1">
        <f t="array" ref="M23">IFERROR(INDEX(_xlfn._xlws.FILTER(market_overview[crossed_flag],market_overview[category]="US Equity"),18),"")</f>
        <v/>
      </c>
      <c r="N23" s="3" t="str" cm="1">
        <f t="array" ref="N23">IFERROR(INDEX(_xlfn._xlws.FILTER(market_overview[locked_flag],market_overview[category]="US Equity"),18),"")</f>
        <v/>
      </c>
      <c r="Q23" s="10"/>
      <c r="R23" s="10"/>
      <c r="S23" s="10"/>
      <c r="T23" s="10"/>
      <c r="U23" s="10"/>
      <c r="V23" s="10"/>
      <c r="W23" s="10"/>
      <c r="X23" s="10"/>
      <c r="Y23" s="10"/>
    </row>
    <row r="24" spans="1:25" x14ac:dyDescent="0.2">
      <c r="A24" s="3" t="str" cm="1">
        <f t="array" ref="A24">IFERROR(INDEX(_xlfn._xlws.FILTER(market_overview[symbol],market_overview[category]="US Equity"),19),"")</f>
        <v/>
      </c>
      <c r="B24" s="3" t="str" cm="1">
        <f t="array" ref="B24">IFERROR(INDEX(_xlfn._xlws.FILTER(market_overview[name],market_overview[category]="US Equity"),19),"")</f>
        <v/>
      </c>
      <c r="C24" s="8" t="str" cm="1">
        <f t="array" ref="C24">IFERROR(INDEX(_xlfn._xlws.FILTER(market_overview[price],market_overview[category]="US Equity"),19),"")</f>
        <v/>
      </c>
      <c r="D24" s="9" t="str" cm="1">
        <f t="array" ref="D24">IFERROR(INDEX(_xlfn._xlws.FILTER(market_overview[move_bps],market_overview[category]="US Equity"),19),"")</f>
        <v/>
      </c>
      <c r="E24" s="8" t="str" cm="1">
        <f t="array" ref="E24">_xlfn.LET(_xlpm.v,IFERROR(INDEX(_xlfn._xlws.FILTER(market_overview[bid],market_overview[category]="US Equity"),ROW()-5),""),IF(OR(_xlpm.v="",_xlpm.v=0),"",_xlpm.v))</f>
        <v/>
      </c>
      <c r="F24" s="8" t="str" cm="1">
        <f t="array" ref="F24">_xlfn.LET(_xlpm.v,IFERROR(INDEX(_xlfn._xlws.FILTER(market_overview[ask],market_overview[category]="US Equity"),ROW()-5),""),IF(OR(_xlpm.v="",_xlpm.v=0),"",_xlpm.v))</f>
        <v/>
      </c>
      <c r="G24" s="8" t="str" cm="1">
        <f t="array" ref="G24">_xlfn.LET(_xlpm.v,IFERROR(INDEX(_xlfn._xlws.FILTER(market_overview[mid],market_overview[category]="US Equity"),ROW()-5),""),IF(OR(_xlpm.v="",_xlpm.v=0),"",_xlpm.v))</f>
        <v/>
      </c>
      <c r="H24" s="59" t="str" cm="1">
        <f t="array" ref="H24">_xlfn.LET(_xlpm.v,IFERROR(INDEX(_xlfn._xlws.FILTER(market_overview[spread_bps],market_overview[category]="US Equity"),ROW()-5),""),IF(OR(_xlpm.v="",_xlpm.v=0),"",_xlpm.v))</f>
        <v/>
      </c>
      <c r="I24" s="46" t="str" cm="1">
        <f t="array" ref="I24">IFERROR(INDEX(_xlfn._xlws.FILTER(market_overview[quote_age_seconds],market_overview[category]="US Equity"),19),"")</f>
        <v/>
      </c>
      <c r="J24" s="3" t="str" cm="1">
        <f t="array" ref="J24">IF(A24="","",IF(INDEX(_xlfn._xlws.FILTER(market_overview[market_expected_open],market_overview[category]="US Equity"),19)="YES","OPEN","CLOSED"))</f>
        <v/>
      </c>
      <c r="K24" s="3" t="str" cm="1">
        <f t="array" ref="K24">IF(A24="","",_xlfn.LET(_xlpm.mkt,INDEX(_xlfn._xlws.FILTER(market_overview[market_stale_flag],market_overview[category]="US Equity"),19),_xlpm.q,INDEX(_xlfn._xlws.FILTER(market_overview[quote_stale_flag],market_overview[category]="US Equity"),19),_xlpm.op,INDEX(_xlfn._xlws.FILTER(market_overview[market_expected_open],market_overview[category]="US Equity"),19),IF(_xlpm.op="NO","MARKET_CLOSED",IF(OR(_xlpm.mkt="STALE",_xlpm.q="STALE"),"STALE","OK"))))</f>
        <v/>
      </c>
      <c r="L24" s="3" t="str" cm="1">
        <f t="array" ref="L24">IFERROR(INDEX(_xlfn._xlws.FILTER(market_overview[market_outlier_flag],market_overview[category]="US Equity"),19),"")</f>
        <v/>
      </c>
      <c r="M24" s="3" t="str" cm="1">
        <f t="array" ref="M24">IFERROR(INDEX(_xlfn._xlws.FILTER(market_overview[crossed_flag],market_overview[category]="US Equity"),19),"")</f>
        <v/>
      </c>
      <c r="N24" s="3" t="str" cm="1">
        <f t="array" ref="N24">IFERROR(INDEX(_xlfn._xlws.FILTER(market_overview[locked_flag],market_overview[category]="US Equity"),19),"")</f>
        <v/>
      </c>
      <c r="Q24" s="10"/>
      <c r="R24" s="10"/>
      <c r="S24" s="10"/>
      <c r="T24" s="10"/>
      <c r="U24" s="10"/>
      <c r="V24" s="10"/>
      <c r="W24" s="10"/>
      <c r="X24" s="10"/>
      <c r="Y24" s="10"/>
    </row>
    <row r="25" spans="1:25" x14ac:dyDescent="0.2">
      <c r="A25" s="3" t="str" cm="1">
        <f t="array" ref="A25">IFERROR(INDEX(_xlfn._xlws.FILTER(market_overview[symbol],market_overview[category]="US Equity"),20),"")</f>
        <v/>
      </c>
      <c r="B25" s="3" t="str" cm="1">
        <f t="array" ref="B25">IFERROR(INDEX(_xlfn._xlws.FILTER(market_overview[name],market_overview[category]="US Equity"),20),"")</f>
        <v/>
      </c>
      <c r="C25" s="8" t="str" cm="1">
        <f t="array" ref="C25">IFERROR(INDEX(_xlfn._xlws.FILTER(market_overview[price],market_overview[category]="US Equity"),20),"")</f>
        <v/>
      </c>
      <c r="D25" s="9" t="str" cm="1">
        <f t="array" ref="D25">IFERROR(INDEX(_xlfn._xlws.FILTER(market_overview[move_bps],market_overview[category]="US Equity"),20),"")</f>
        <v/>
      </c>
      <c r="E25" s="8" t="str" cm="1">
        <f t="array" ref="E25">_xlfn.LET(_xlpm.v,IFERROR(INDEX(_xlfn._xlws.FILTER(market_overview[bid],market_overview[category]="US Equity"),ROW()-5),""),IF(OR(_xlpm.v="",_xlpm.v=0),"",_xlpm.v))</f>
        <v/>
      </c>
      <c r="F25" s="8" t="str" cm="1">
        <f t="array" ref="F25">_xlfn.LET(_xlpm.v,IFERROR(INDEX(_xlfn._xlws.FILTER(market_overview[ask],market_overview[category]="US Equity"),ROW()-5),""),IF(OR(_xlpm.v="",_xlpm.v=0),"",_xlpm.v))</f>
        <v/>
      </c>
      <c r="G25" s="8" t="str" cm="1">
        <f t="array" ref="G25">_xlfn.LET(_xlpm.v,IFERROR(INDEX(_xlfn._xlws.FILTER(market_overview[mid],market_overview[category]="US Equity"),ROW()-5),""),IF(OR(_xlpm.v="",_xlpm.v=0),"",_xlpm.v))</f>
        <v/>
      </c>
      <c r="H25" s="59" t="str" cm="1">
        <f t="array" ref="H25">_xlfn.LET(_xlpm.v,IFERROR(INDEX(_xlfn._xlws.FILTER(market_overview[spread_bps],market_overview[category]="US Equity"),ROW()-5),""),IF(OR(_xlpm.v="",_xlpm.v=0),"",_xlpm.v))</f>
        <v/>
      </c>
      <c r="I25" s="46" t="str" cm="1">
        <f t="array" ref="I25">IFERROR(INDEX(_xlfn._xlws.FILTER(market_overview[quote_age_seconds],market_overview[category]="US Equity"),20),"")</f>
        <v/>
      </c>
      <c r="J25" s="3" t="str" cm="1">
        <f t="array" ref="J25">IF(A25="","",IF(INDEX(_xlfn._xlws.FILTER(market_overview[market_expected_open],market_overview[category]="US Equity"),20)="YES","OPEN","CLOSED"))</f>
        <v/>
      </c>
      <c r="K25" s="3" t="str" cm="1">
        <f t="array" ref="K25">IF(A25="","",_xlfn.LET(_xlpm.mkt,INDEX(_xlfn._xlws.FILTER(market_overview[market_stale_flag],market_overview[category]="US Equity"),20),_xlpm.q,INDEX(_xlfn._xlws.FILTER(market_overview[quote_stale_flag],market_overview[category]="US Equity"),20),_xlpm.op,INDEX(_xlfn._xlws.FILTER(market_overview[market_expected_open],market_overview[category]="US Equity"),20),IF(_xlpm.op="NO","MARKET_CLOSED",IF(OR(_xlpm.mkt="STALE",_xlpm.q="STALE"),"STALE","OK"))))</f>
        <v/>
      </c>
      <c r="L25" s="3" t="str" cm="1">
        <f t="array" ref="L25">IFERROR(INDEX(_xlfn._xlws.FILTER(market_overview[market_outlier_flag],market_overview[category]="US Equity"),20),"")</f>
        <v/>
      </c>
      <c r="M25" s="3" t="str" cm="1">
        <f t="array" ref="M25">IFERROR(INDEX(_xlfn._xlws.FILTER(market_overview[crossed_flag],market_overview[category]="US Equity"),20),"")</f>
        <v/>
      </c>
      <c r="N25" s="3" t="str" cm="1">
        <f t="array" ref="N25">IFERROR(INDEX(_xlfn._xlws.FILTER(market_overview[locked_flag],market_overview[category]="US Equity"),20),"")</f>
        <v/>
      </c>
    </row>
    <row r="26" spans="1:25" x14ac:dyDescent="0.2">
      <c r="A26" s="3" t="str" cm="1">
        <f t="array" ref="A26">IFERROR(INDEX(_xlfn._xlws.FILTER(market_overview[symbol],market_overview[category]="US Equity"),21),"")</f>
        <v/>
      </c>
      <c r="B26" s="3" t="str" cm="1">
        <f t="array" ref="B26">IFERROR(INDEX(_xlfn._xlws.FILTER(market_overview[name],market_overview[category]="US Equity"),21),"")</f>
        <v/>
      </c>
      <c r="C26" s="8" t="str" cm="1">
        <f t="array" ref="C26">IFERROR(INDEX(_xlfn._xlws.FILTER(market_overview[price],market_overview[category]="US Equity"),21),"")</f>
        <v/>
      </c>
      <c r="D26" s="9" t="str" cm="1">
        <f t="array" ref="D26">IFERROR(INDEX(_xlfn._xlws.FILTER(market_overview[move_bps],market_overview[category]="US Equity"),21),"")</f>
        <v/>
      </c>
      <c r="E26" s="8" t="str" cm="1">
        <f t="array" ref="E26">_xlfn.LET(_xlpm.v,IFERROR(INDEX(_xlfn._xlws.FILTER(market_overview[bid],market_overview[category]="US Equity"),ROW()-5),""),IF(OR(_xlpm.v="",_xlpm.v=0),"",_xlpm.v))</f>
        <v/>
      </c>
      <c r="F26" s="8" t="str" cm="1">
        <f t="array" ref="F26">_xlfn.LET(_xlpm.v,IFERROR(INDEX(_xlfn._xlws.FILTER(market_overview[ask],market_overview[category]="US Equity"),ROW()-5),""),IF(OR(_xlpm.v="",_xlpm.v=0),"",_xlpm.v))</f>
        <v/>
      </c>
      <c r="G26" s="8" t="str" cm="1">
        <f t="array" ref="G26">_xlfn.LET(_xlpm.v,IFERROR(INDEX(_xlfn._xlws.FILTER(market_overview[mid],market_overview[category]="US Equity"),ROW()-5),""),IF(OR(_xlpm.v="",_xlpm.v=0),"",_xlpm.v))</f>
        <v/>
      </c>
      <c r="H26" s="59" t="str" cm="1">
        <f t="array" ref="H26">_xlfn.LET(_xlpm.v,IFERROR(INDEX(_xlfn._xlws.FILTER(market_overview[spread_bps],market_overview[category]="US Equity"),ROW()-5),""),IF(OR(_xlpm.v="",_xlpm.v=0),"",_xlpm.v))</f>
        <v/>
      </c>
      <c r="I26" s="46" t="str" cm="1">
        <f t="array" ref="I26">IFERROR(INDEX(_xlfn._xlws.FILTER(market_overview[quote_age_seconds],market_overview[category]="US Equity"),21),"")</f>
        <v/>
      </c>
      <c r="J26" s="3" t="str" cm="1">
        <f t="array" ref="J26">IF(A26="","",IF(INDEX(_xlfn._xlws.FILTER(market_overview[market_expected_open],market_overview[category]="US Equity"),21)="YES","OPEN","CLOSED"))</f>
        <v/>
      </c>
      <c r="K26" s="3" t="str" cm="1">
        <f t="array" ref="K26">IF(A26="","",_xlfn.LET(_xlpm.mkt,INDEX(_xlfn._xlws.FILTER(market_overview[market_stale_flag],market_overview[category]="US Equity"),21),_xlpm.q,INDEX(_xlfn._xlws.FILTER(market_overview[quote_stale_flag],market_overview[category]="US Equity"),21),_xlpm.op,INDEX(_xlfn._xlws.FILTER(market_overview[market_expected_open],market_overview[category]="US Equity"),21),IF(_xlpm.op="NO","MARKET_CLOSED",IF(OR(_xlpm.mkt="STALE",_xlpm.q="STALE"),"STALE","OK"))))</f>
        <v/>
      </c>
      <c r="L26" s="3" t="str" cm="1">
        <f t="array" ref="L26">IFERROR(INDEX(_xlfn._xlws.FILTER(market_overview[market_outlier_flag],market_overview[category]="US Equity"),21),"")</f>
        <v/>
      </c>
      <c r="M26" s="3" t="str" cm="1">
        <f t="array" ref="M26">IFERROR(INDEX(_xlfn._xlws.FILTER(market_overview[crossed_flag],market_overview[category]="US Equity"),21),"")</f>
        <v/>
      </c>
      <c r="N26" s="3" t="str" cm="1">
        <f t="array" ref="N26">IFERROR(INDEX(_xlfn._xlws.FILTER(market_overview[locked_flag],market_overview[category]="US Equity"),21),"")</f>
        <v/>
      </c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2">
      <c r="A27" s="3" t="str" cm="1">
        <f t="array" ref="A27">IFERROR(INDEX(_xlfn._xlws.FILTER(market_overview[symbol],market_overview[category]="US Equity"),22),"")</f>
        <v/>
      </c>
      <c r="B27" s="3" t="str" cm="1">
        <f t="array" ref="B27">IFERROR(INDEX(_xlfn._xlws.FILTER(market_overview[name],market_overview[category]="US Equity"),22),"")</f>
        <v/>
      </c>
      <c r="C27" s="8" t="str" cm="1">
        <f t="array" ref="C27">IFERROR(INDEX(_xlfn._xlws.FILTER(market_overview[price],market_overview[category]="US Equity"),22),"")</f>
        <v/>
      </c>
      <c r="D27" s="9" t="str" cm="1">
        <f t="array" ref="D27">IFERROR(INDEX(_xlfn._xlws.FILTER(market_overview[move_bps],market_overview[category]="US Equity"),22),"")</f>
        <v/>
      </c>
      <c r="E27" s="8" t="str" cm="1">
        <f t="array" ref="E27">_xlfn.LET(_xlpm.v,IFERROR(INDEX(_xlfn._xlws.FILTER(market_overview[bid],market_overview[category]="US Equity"),ROW()-5),""),IF(OR(_xlpm.v="",_xlpm.v=0),"",_xlpm.v))</f>
        <v/>
      </c>
      <c r="F27" s="8" t="str" cm="1">
        <f t="array" ref="F27">_xlfn.LET(_xlpm.v,IFERROR(INDEX(_xlfn._xlws.FILTER(market_overview[ask],market_overview[category]="US Equity"),ROW()-5),""),IF(OR(_xlpm.v="",_xlpm.v=0),"",_xlpm.v))</f>
        <v/>
      </c>
      <c r="G27" s="8" t="str" cm="1">
        <f t="array" ref="G27">_xlfn.LET(_xlpm.v,IFERROR(INDEX(_xlfn._xlws.FILTER(market_overview[mid],market_overview[category]="US Equity"),ROW()-5),""),IF(OR(_xlpm.v="",_xlpm.v=0),"",_xlpm.v))</f>
        <v/>
      </c>
      <c r="H27" s="59" t="str" cm="1">
        <f t="array" ref="H27">_xlfn.LET(_xlpm.v,IFERROR(INDEX(_xlfn._xlws.FILTER(market_overview[spread_bps],market_overview[category]="US Equity"),ROW()-5),""),IF(OR(_xlpm.v="",_xlpm.v=0),"",_xlpm.v))</f>
        <v/>
      </c>
      <c r="I27" s="46" t="str" cm="1">
        <f t="array" ref="I27">IFERROR(INDEX(_xlfn._xlws.FILTER(market_overview[quote_age_seconds],market_overview[category]="US Equity"),22),"")</f>
        <v/>
      </c>
      <c r="J27" s="3" t="str" cm="1">
        <f t="array" ref="J27">IF(A27="","",IF(INDEX(_xlfn._xlws.FILTER(market_overview[market_expected_open],market_overview[category]="US Equity"),22)="YES","OPEN","CLOSED"))</f>
        <v/>
      </c>
      <c r="K27" s="3" t="str" cm="1">
        <f t="array" ref="K27">IF(A27="","",_xlfn.LET(_xlpm.mkt,INDEX(_xlfn._xlws.FILTER(market_overview[market_stale_flag],market_overview[category]="US Equity"),22),_xlpm.q,INDEX(_xlfn._xlws.FILTER(market_overview[quote_stale_flag],market_overview[category]="US Equity"),22),_xlpm.op,INDEX(_xlfn._xlws.FILTER(market_overview[market_expected_open],market_overview[category]="US Equity"),22),IF(_xlpm.op="NO","MARKET_CLOSED",IF(OR(_xlpm.mkt="STALE",_xlpm.q="STALE"),"STALE","OK"))))</f>
        <v/>
      </c>
      <c r="L27" s="3" t="str" cm="1">
        <f t="array" ref="L27">IFERROR(INDEX(_xlfn._xlws.FILTER(market_overview[market_outlier_flag],market_overview[category]="US Equity"),22),"")</f>
        <v/>
      </c>
      <c r="M27" s="3" t="str" cm="1">
        <f t="array" ref="M27">IFERROR(INDEX(_xlfn._xlws.FILTER(market_overview[crossed_flag],market_overview[category]="US Equity"),22),"")</f>
        <v/>
      </c>
      <c r="N27" s="3" t="str" cm="1">
        <f t="array" ref="N27">IFERROR(INDEX(_xlfn._xlws.FILTER(market_overview[locked_flag],market_overview[category]="US Equity"),22),"")</f>
        <v/>
      </c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2">
      <c r="A28" s="3" t="str" cm="1">
        <f t="array" ref="A28">IFERROR(INDEX(_xlfn._xlws.FILTER(market_overview[symbol],market_overview[category]="US Equity"),23),"")</f>
        <v/>
      </c>
      <c r="B28" s="3" t="str" cm="1">
        <f t="array" ref="B28">IFERROR(INDEX(_xlfn._xlws.FILTER(market_overview[name],market_overview[category]="US Equity"),23),"")</f>
        <v/>
      </c>
      <c r="C28" s="8" t="str" cm="1">
        <f t="array" ref="C28">IFERROR(INDEX(_xlfn._xlws.FILTER(market_overview[price],market_overview[category]="US Equity"),23),"")</f>
        <v/>
      </c>
      <c r="D28" s="9" t="str" cm="1">
        <f t="array" ref="D28">IFERROR(INDEX(_xlfn._xlws.FILTER(market_overview[move_bps],market_overview[category]="US Equity"),23),"")</f>
        <v/>
      </c>
      <c r="E28" s="8" t="str" cm="1">
        <f t="array" ref="E28">_xlfn.LET(_xlpm.v,IFERROR(INDEX(_xlfn._xlws.FILTER(market_overview[bid],market_overview[category]="US Equity"),ROW()-5),""),IF(OR(_xlpm.v="",_xlpm.v=0),"",_xlpm.v))</f>
        <v/>
      </c>
      <c r="F28" s="8" t="str" cm="1">
        <f t="array" ref="F28">_xlfn.LET(_xlpm.v,IFERROR(INDEX(_xlfn._xlws.FILTER(market_overview[ask],market_overview[category]="US Equity"),ROW()-5),""),IF(OR(_xlpm.v="",_xlpm.v=0),"",_xlpm.v))</f>
        <v/>
      </c>
      <c r="G28" s="8" t="str" cm="1">
        <f t="array" ref="G28">_xlfn.LET(_xlpm.v,IFERROR(INDEX(_xlfn._xlws.FILTER(market_overview[mid],market_overview[category]="US Equity"),ROW()-5),""),IF(OR(_xlpm.v="",_xlpm.v=0),"",_xlpm.v))</f>
        <v/>
      </c>
      <c r="H28" s="59" t="str" cm="1">
        <f t="array" ref="H28">_xlfn.LET(_xlpm.v,IFERROR(INDEX(_xlfn._xlws.FILTER(market_overview[spread_bps],market_overview[category]="US Equity"),ROW()-5),""),IF(OR(_xlpm.v="",_xlpm.v=0),"",_xlpm.v))</f>
        <v/>
      </c>
      <c r="I28" s="46" t="str" cm="1">
        <f t="array" ref="I28">IFERROR(INDEX(_xlfn._xlws.FILTER(market_overview[quote_age_seconds],market_overview[category]="US Equity"),23),"")</f>
        <v/>
      </c>
      <c r="J28" s="3" t="str" cm="1">
        <f t="array" ref="J28">IF(A28="","",IF(INDEX(_xlfn._xlws.FILTER(market_overview[market_expected_open],market_overview[category]="US Equity"),23)="YES","OPEN","CLOSED"))</f>
        <v/>
      </c>
      <c r="K28" s="3" t="str" cm="1">
        <f t="array" ref="K28">IF(A28="","",_xlfn.LET(_xlpm.mkt,INDEX(_xlfn._xlws.FILTER(market_overview[market_stale_flag],market_overview[category]="US Equity"),23),_xlpm.q,INDEX(_xlfn._xlws.FILTER(market_overview[quote_stale_flag],market_overview[category]="US Equity"),23),_xlpm.op,INDEX(_xlfn._xlws.FILTER(market_overview[market_expected_open],market_overview[category]="US Equity"),23),IF(_xlpm.op="NO","MARKET_CLOSED",IF(OR(_xlpm.mkt="STALE",_xlpm.q="STALE"),"STALE","OK"))))</f>
        <v/>
      </c>
      <c r="L28" s="3" t="str" cm="1">
        <f t="array" ref="L28">IFERROR(INDEX(_xlfn._xlws.FILTER(market_overview[market_outlier_flag],market_overview[category]="US Equity"),23),"")</f>
        <v/>
      </c>
      <c r="M28" s="3" t="str" cm="1">
        <f t="array" ref="M28">IFERROR(INDEX(_xlfn._xlws.FILTER(market_overview[crossed_flag],market_overview[category]="US Equity"),23),"")</f>
        <v/>
      </c>
      <c r="N28" s="3" t="str" cm="1">
        <f t="array" ref="N28">IFERROR(INDEX(_xlfn._xlws.FILTER(market_overview[locked_flag],market_overview[category]="US Equity"),23),"")</f>
        <v/>
      </c>
    </row>
    <row r="29" spans="1:25" x14ac:dyDescent="0.2">
      <c r="A29" s="3" t="str" cm="1">
        <f t="array" ref="A29">IFERROR(INDEX(_xlfn._xlws.FILTER(market_overview[symbol],market_overview[category]="US Equity"),24),"")</f>
        <v/>
      </c>
      <c r="B29" s="3" t="str" cm="1">
        <f t="array" ref="B29">IFERROR(INDEX(_xlfn._xlws.FILTER(market_overview[name],market_overview[category]="US Equity"),24),"")</f>
        <v/>
      </c>
      <c r="C29" s="8" t="str" cm="1">
        <f t="array" ref="C29">IFERROR(INDEX(_xlfn._xlws.FILTER(market_overview[price],market_overview[category]="US Equity"),24),"")</f>
        <v/>
      </c>
      <c r="D29" s="9" t="str" cm="1">
        <f t="array" ref="D29">IFERROR(INDEX(_xlfn._xlws.FILTER(market_overview[move_bps],market_overview[category]="US Equity"),24),"")</f>
        <v/>
      </c>
      <c r="E29" s="8" t="str" cm="1">
        <f t="array" ref="E29">_xlfn.LET(_xlpm.v,IFERROR(INDEX(_xlfn._xlws.FILTER(market_overview[bid],market_overview[category]="US Equity"),ROW()-5),""),IF(OR(_xlpm.v="",_xlpm.v=0),"",_xlpm.v))</f>
        <v/>
      </c>
      <c r="F29" s="8" t="str" cm="1">
        <f t="array" ref="F29">_xlfn.LET(_xlpm.v,IFERROR(INDEX(_xlfn._xlws.FILTER(market_overview[ask],market_overview[category]="US Equity"),ROW()-5),""),IF(OR(_xlpm.v="",_xlpm.v=0),"",_xlpm.v))</f>
        <v/>
      </c>
      <c r="G29" s="8" t="str" cm="1">
        <f t="array" ref="G29">_xlfn.LET(_xlpm.v,IFERROR(INDEX(_xlfn._xlws.FILTER(market_overview[mid],market_overview[category]="US Equity"),ROW()-5),""),IF(OR(_xlpm.v="",_xlpm.v=0),"",_xlpm.v))</f>
        <v/>
      </c>
      <c r="H29" s="59" t="str" cm="1">
        <f t="array" ref="H29">_xlfn.LET(_xlpm.v,IFERROR(INDEX(_xlfn._xlws.FILTER(market_overview[spread_bps],market_overview[category]="US Equity"),ROW()-5),""),IF(OR(_xlpm.v="",_xlpm.v=0),"",_xlpm.v))</f>
        <v/>
      </c>
      <c r="I29" s="46" t="str" cm="1">
        <f t="array" ref="I29">IFERROR(INDEX(_xlfn._xlws.FILTER(market_overview[quote_age_seconds],market_overview[category]="US Equity"),24),"")</f>
        <v/>
      </c>
      <c r="J29" s="3" t="str" cm="1">
        <f t="array" ref="J29">IF(A29="","",IF(INDEX(_xlfn._xlws.FILTER(market_overview[market_expected_open],market_overview[category]="US Equity"),24)="YES","OPEN","CLOSED"))</f>
        <v/>
      </c>
      <c r="K29" s="3" t="str" cm="1">
        <f t="array" ref="K29">IF(A29="","",_xlfn.LET(_xlpm.mkt,INDEX(_xlfn._xlws.FILTER(market_overview[market_stale_flag],market_overview[category]="US Equity"),24),_xlpm.q,INDEX(_xlfn._xlws.FILTER(market_overview[quote_stale_flag],market_overview[category]="US Equity"),24),_xlpm.op,INDEX(_xlfn._xlws.FILTER(market_overview[market_expected_open],market_overview[category]="US Equity"),24),IF(_xlpm.op="NO","MARKET_CLOSED",IF(OR(_xlpm.mkt="STALE",_xlpm.q="STALE"),"STALE","OK"))))</f>
        <v/>
      </c>
      <c r="L29" s="3" t="str" cm="1">
        <f t="array" ref="L29">IFERROR(INDEX(_xlfn._xlws.FILTER(market_overview[market_outlier_flag],market_overview[category]="US Equity"),24),"")</f>
        <v/>
      </c>
      <c r="M29" s="3" t="str" cm="1">
        <f t="array" ref="M29">IFERROR(INDEX(_xlfn._xlws.FILTER(market_overview[crossed_flag],market_overview[category]="US Equity"),24),"")</f>
        <v/>
      </c>
      <c r="N29" s="3" t="str" cm="1">
        <f t="array" ref="N29">IFERROR(INDEX(_xlfn._xlws.FILTER(market_overview[locked_flag],market_overview[category]="US Equity"),24),"")</f>
        <v/>
      </c>
    </row>
    <row r="30" spans="1:25" x14ac:dyDescent="0.2">
      <c r="A30" s="3" t="str" cm="1">
        <f t="array" ref="A30">IFERROR(INDEX(_xlfn._xlws.FILTER(market_overview[symbol],market_overview[category]="US Equity"),25),"")</f>
        <v/>
      </c>
      <c r="B30" s="3" t="str" cm="1">
        <f t="array" ref="B30">IFERROR(INDEX(_xlfn._xlws.FILTER(market_overview[name],market_overview[category]="US Equity"),25),"")</f>
        <v/>
      </c>
      <c r="C30" s="8" t="str" cm="1">
        <f t="array" ref="C30">IFERROR(INDEX(_xlfn._xlws.FILTER(market_overview[price],market_overview[category]="US Equity"),25),"")</f>
        <v/>
      </c>
      <c r="D30" s="9" t="str" cm="1">
        <f t="array" ref="D30">IFERROR(INDEX(_xlfn._xlws.FILTER(market_overview[move_bps],market_overview[category]="US Equity"),25),"")</f>
        <v/>
      </c>
      <c r="E30" s="8" t="str" cm="1">
        <f t="array" ref="E30">_xlfn.LET(_xlpm.v,IFERROR(INDEX(_xlfn._xlws.FILTER(market_overview[bid],market_overview[category]="US Equity"),ROW()-5),""),IF(OR(_xlpm.v="",_xlpm.v=0),"",_xlpm.v))</f>
        <v/>
      </c>
      <c r="F30" s="8" t="str" cm="1">
        <f t="array" ref="F30">_xlfn.LET(_xlpm.v,IFERROR(INDEX(_xlfn._xlws.FILTER(market_overview[ask],market_overview[category]="US Equity"),ROW()-5),""),IF(OR(_xlpm.v="",_xlpm.v=0),"",_xlpm.v))</f>
        <v/>
      </c>
      <c r="G30" s="8" t="str" cm="1">
        <f t="array" ref="G30">_xlfn.LET(_xlpm.v,IFERROR(INDEX(_xlfn._xlws.FILTER(market_overview[mid],market_overview[category]="US Equity"),ROW()-5),""),IF(OR(_xlpm.v="",_xlpm.v=0),"",_xlpm.v))</f>
        <v/>
      </c>
      <c r="H30" s="59" t="str" cm="1">
        <f t="array" ref="H30">_xlfn.LET(_xlpm.v,IFERROR(INDEX(_xlfn._xlws.FILTER(market_overview[spread_bps],market_overview[category]="US Equity"),ROW()-5),""),IF(OR(_xlpm.v="",_xlpm.v=0),"",_xlpm.v))</f>
        <v/>
      </c>
      <c r="I30" s="46" t="str" cm="1">
        <f t="array" ref="I30">IFERROR(INDEX(_xlfn._xlws.FILTER(market_overview[quote_age_seconds],market_overview[category]="US Equity"),25),"")</f>
        <v/>
      </c>
      <c r="J30" s="3" t="str" cm="1">
        <f t="array" ref="J30">IF(A30="","",IF(INDEX(_xlfn._xlws.FILTER(market_overview[market_expected_open],market_overview[category]="US Equity"),25)="YES","OPEN","CLOSED"))</f>
        <v/>
      </c>
      <c r="K30" s="3" t="str" cm="1">
        <f t="array" ref="K30">IF(A30="","",_xlfn.LET(_xlpm.mkt,INDEX(_xlfn._xlws.FILTER(market_overview[market_stale_flag],market_overview[category]="US Equity"),25),_xlpm.q,INDEX(_xlfn._xlws.FILTER(market_overview[quote_stale_flag],market_overview[category]="US Equity"),25),_xlpm.op,INDEX(_xlfn._xlws.FILTER(market_overview[market_expected_open],market_overview[category]="US Equity"),25),IF(_xlpm.op="NO","MARKET_CLOSED",IF(OR(_xlpm.mkt="STALE",_xlpm.q="STALE"),"STALE","OK"))))</f>
        <v/>
      </c>
      <c r="L30" s="3" t="str" cm="1">
        <f t="array" ref="L30">IFERROR(INDEX(_xlfn._xlws.FILTER(market_overview[market_outlier_flag],market_overview[category]="US Equity"),25),"")</f>
        <v/>
      </c>
      <c r="M30" s="3" t="str" cm="1">
        <f t="array" ref="M30">IFERROR(INDEX(_xlfn._xlws.FILTER(market_overview[crossed_flag],market_overview[category]="US Equity"),25),"")</f>
        <v/>
      </c>
      <c r="N30" s="3" t="str" cm="1">
        <f t="array" ref="N30">IFERROR(INDEX(_xlfn._xlws.FILTER(market_overview[locked_flag],market_overview[category]="US Equity"),25),"")</f>
        <v/>
      </c>
    </row>
    <row r="31" spans="1:25" x14ac:dyDescent="0.2">
      <c r="A31" s="3" t="str" cm="1">
        <f t="array" ref="A31">IFERROR(INDEX(_xlfn._xlws.FILTER(market_overview[symbol],market_overview[category]="US Equity"),26),"")</f>
        <v/>
      </c>
      <c r="B31" s="3" t="str" cm="1">
        <f t="array" ref="B31">IFERROR(INDEX(_xlfn._xlws.FILTER(market_overview[name],market_overview[category]="US Equity"),26),"")</f>
        <v/>
      </c>
      <c r="C31" s="8" t="str" cm="1">
        <f t="array" ref="C31">IFERROR(INDEX(_xlfn._xlws.FILTER(market_overview[price],market_overview[category]="US Equity"),26),"")</f>
        <v/>
      </c>
      <c r="D31" s="9" t="str" cm="1">
        <f t="array" ref="D31">IFERROR(INDEX(_xlfn._xlws.FILTER(market_overview[move_bps],market_overview[category]="US Equity"),26),"")</f>
        <v/>
      </c>
      <c r="E31" s="8" t="str" cm="1">
        <f t="array" ref="E31">_xlfn.LET(_xlpm.v,IFERROR(INDEX(_xlfn._xlws.FILTER(market_overview[bid],market_overview[category]="US Equity"),ROW()-5),""),IF(OR(_xlpm.v="",_xlpm.v=0),"",_xlpm.v))</f>
        <v/>
      </c>
      <c r="F31" s="8" t="str" cm="1">
        <f t="array" ref="F31">_xlfn.LET(_xlpm.v,IFERROR(INDEX(_xlfn._xlws.FILTER(market_overview[ask],market_overview[category]="US Equity"),ROW()-5),""),IF(OR(_xlpm.v="",_xlpm.v=0),"",_xlpm.v))</f>
        <v/>
      </c>
      <c r="G31" s="8" t="str" cm="1">
        <f t="array" ref="G31">_xlfn.LET(_xlpm.v,IFERROR(INDEX(_xlfn._xlws.FILTER(market_overview[mid],market_overview[category]="US Equity"),ROW()-5),""),IF(OR(_xlpm.v="",_xlpm.v=0),"",_xlpm.v))</f>
        <v/>
      </c>
      <c r="H31" s="59" t="str" cm="1">
        <f t="array" ref="H31">_xlfn.LET(_xlpm.v,IFERROR(INDEX(_xlfn._xlws.FILTER(market_overview[spread_bps],market_overview[category]="US Equity"),ROW()-5),""),IF(OR(_xlpm.v="",_xlpm.v=0),"",_xlpm.v))</f>
        <v/>
      </c>
      <c r="I31" s="46" t="str" cm="1">
        <f t="array" ref="I31">IFERROR(INDEX(_xlfn._xlws.FILTER(market_overview[quote_age_seconds],market_overview[category]="US Equity"),26),"")</f>
        <v/>
      </c>
      <c r="J31" s="3" t="str" cm="1">
        <f t="array" ref="J31">IF(A31="","",IF(INDEX(_xlfn._xlws.FILTER(market_overview[market_expected_open],market_overview[category]="US Equity"),26)="YES","OPEN","CLOSED"))</f>
        <v/>
      </c>
      <c r="K31" s="3" t="str" cm="1">
        <f t="array" ref="K31">IF(A31="","",_xlfn.LET(_xlpm.mkt,INDEX(_xlfn._xlws.FILTER(market_overview[market_stale_flag],market_overview[category]="US Equity"),26),_xlpm.q,INDEX(_xlfn._xlws.FILTER(market_overview[quote_stale_flag],market_overview[category]="US Equity"),26),_xlpm.op,INDEX(_xlfn._xlws.FILTER(market_overview[market_expected_open],market_overview[category]="US Equity"),26),IF(_xlpm.op="NO","MARKET_CLOSED",IF(OR(_xlpm.mkt="STALE",_xlpm.q="STALE"),"STALE","OK"))))</f>
        <v/>
      </c>
      <c r="L31" s="3" t="str" cm="1">
        <f t="array" ref="L31">IFERROR(INDEX(_xlfn._xlws.FILTER(market_overview[market_outlier_flag],market_overview[category]="US Equity"),26),"")</f>
        <v/>
      </c>
      <c r="M31" s="3" t="str" cm="1">
        <f t="array" ref="M31">IFERROR(INDEX(_xlfn._xlws.FILTER(market_overview[crossed_flag],market_overview[category]="US Equity"),26),"")</f>
        <v/>
      </c>
      <c r="N31" s="3" t="str" cm="1">
        <f t="array" ref="N31">IFERROR(INDEX(_xlfn._xlws.FILTER(market_overview[locked_flag],market_overview[category]="US Equity"),26),"")</f>
        <v/>
      </c>
    </row>
    <row r="32" spans="1:25" x14ac:dyDescent="0.2">
      <c r="A32" s="3" t="str" cm="1">
        <f t="array" ref="A32">IFERROR(INDEX(_xlfn._xlws.FILTER(market_overview[symbol],market_overview[category]="US Equity"),27),"")</f>
        <v/>
      </c>
      <c r="B32" s="3" t="str" cm="1">
        <f t="array" ref="B32">IFERROR(INDEX(_xlfn._xlws.FILTER(market_overview[name],market_overview[category]="US Equity"),27),"")</f>
        <v/>
      </c>
      <c r="C32" s="8" t="str" cm="1">
        <f t="array" ref="C32">IFERROR(INDEX(_xlfn._xlws.FILTER(market_overview[price],market_overview[category]="US Equity"),27),"")</f>
        <v/>
      </c>
      <c r="D32" s="9" t="str" cm="1">
        <f t="array" ref="D32">IFERROR(INDEX(_xlfn._xlws.FILTER(market_overview[move_bps],market_overview[category]="US Equity"),27),"")</f>
        <v/>
      </c>
      <c r="E32" s="8" t="str" cm="1">
        <f t="array" ref="E32">_xlfn.LET(_xlpm.v,IFERROR(INDEX(_xlfn._xlws.FILTER(market_overview[bid],market_overview[category]="US Equity"),ROW()-5),""),IF(OR(_xlpm.v="",_xlpm.v=0),"",_xlpm.v))</f>
        <v/>
      </c>
      <c r="F32" s="8" t="str" cm="1">
        <f t="array" ref="F32">_xlfn.LET(_xlpm.v,IFERROR(INDEX(_xlfn._xlws.FILTER(market_overview[ask],market_overview[category]="US Equity"),ROW()-5),""),IF(OR(_xlpm.v="",_xlpm.v=0),"",_xlpm.v))</f>
        <v/>
      </c>
      <c r="G32" s="8" t="str" cm="1">
        <f t="array" ref="G32">_xlfn.LET(_xlpm.v,IFERROR(INDEX(_xlfn._xlws.FILTER(market_overview[mid],market_overview[category]="US Equity"),ROW()-5),""),IF(OR(_xlpm.v="",_xlpm.v=0),"",_xlpm.v))</f>
        <v/>
      </c>
      <c r="H32" s="59" t="str" cm="1">
        <f t="array" ref="H32">_xlfn.LET(_xlpm.v,IFERROR(INDEX(_xlfn._xlws.FILTER(market_overview[spread_bps],market_overview[category]="US Equity"),ROW()-5),""),IF(OR(_xlpm.v="",_xlpm.v=0),"",_xlpm.v))</f>
        <v/>
      </c>
      <c r="I32" s="46" t="str" cm="1">
        <f t="array" ref="I32">IFERROR(INDEX(_xlfn._xlws.FILTER(market_overview[quote_age_seconds],market_overview[category]="US Equity"),27),"")</f>
        <v/>
      </c>
      <c r="J32" s="3" t="str" cm="1">
        <f t="array" ref="J32">IF(A32="","",IF(INDEX(_xlfn._xlws.FILTER(market_overview[market_expected_open],market_overview[category]="US Equity"),27)="YES","OPEN","CLOSED"))</f>
        <v/>
      </c>
      <c r="K32" s="3" t="str" cm="1">
        <f t="array" ref="K32">IF(A32="","",_xlfn.LET(_xlpm.mkt,INDEX(_xlfn._xlws.FILTER(market_overview[market_stale_flag],market_overview[category]="US Equity"),27),_xlpm.q,INDEX(_xlfn._xlws.FILTER(market_overview[quote_stale_flag],market_overview[category]="US Equity"),27),_xlpm.op,INDEX(_xlfn._xlws.FILTER(market_overview[market_expected_open],market_overview[category]="US Equity"),27),IF(_xlpm.op="NO","MARKET_CLOSED",IF(OR(_xlpm.mkt="STALE",_xlpm.q="STALE"),"STALE","OK"))))</f>
        <v/>
      </c>
      <c r="L32" s="3" t="str" cm="1">
        <f t="array" ref="L32">IFERROR(INDEX(_xlfn._xlws.FILTER(market_overview[market_outlier_flag],market_overview[category]="US Equity"),27),"")</f>
        <v/>
      </c>
      <c r="M32" s="3" t="str" cm="1">
        <f t="array" ref="M32">IFERROR(INDEX(_xlfn._xlws.FILTER(market_overview[crossed_flag],market_overview[category]="US Equity"),27),"")</f>
        <v/>
      </c>
      <c r="N32" s="3" t="str" cm="1">
        <f t="array" ref="N32">IFERROR(INDEX(_xlfn._xlws.FILTER(market_overview[locked_flag],market_overview[category]="US Equity"),27),"")</f>
        <v/>
      </c>
    </row>
    <row r="33" spans="1:14" x14ac:dyDescent="0.2">
      <c r="A33" s="3" t="str" cm="1">
        <f t="array" ref="A33">IFERROR(INDEX(_xlfn._xlws.FILTER(market_overview[symbol],market_overview[category]="US Equity"),28),"")</f>
        <v/>
      </c>
      <c r="B33" s="3" t="str" cm="1">
        <f t="array" ref="B33">IFERROR(INDEX(_xlfn._xlws.FILTER(market_overview[name],market_overview[category]="US Equity"),28),"")</f>
        <v/>
      </c>
      <c r="C33" s="8" t="str" cm="1">
        <f t="array" ref="C33">IFERROR(INDEX(_xlfn._xlws.FILTER(market_overview[price],market_overview[category]="US Equity"),28),"")</f>
        <v/>
      </c>
      <c r="D33" s="9" t="str" cm="1">
        <f t="array" ref="D33">IFERROR(INDEX(_xlfn._xlws.FILTER(market_overview[move_bps],market_overview[category]="US Equity"),28),"")</f>
        <v/>
      </c>
      <c r="E33" s="8" t="str" cm="1">
        <f t="array" ref="E33">_xlfn.LET(_xlpm.v,IFERROR(INDEX(_xlfn._xlws.FILTER(market_overview[bid],market_overview[category]="US Equity"),ROW()-5),""),IF(OR(_xlpm.v="",_xlpm.v=0),"",_xlpm.v))</f>
        <v/>
      </c>
      <c r="F33" s="8" t="str" cm="1">
        <f t="array" ref="F33">_xlfn.LET(_xlpm.v,IFERROR(INDEX(_xlfn._xlws.FILTER(market_overview[ask],market_overview[category]="US Equity"),ROW()-5),""),IF(OR(_xlpm.v="",_xlpm.v=0),"",_xlpm.v))</f>
        <v/>
      </c>
      <c r="G33" s="8" t="str" cm="1">
        <f t="array" ref="G33">_xlfn.LET(_xlpm.v,IFERROR(INDEX(_xlfn._xlws.FILTER(market_overview[mid],market_overview[category]="US Equity"),ROW()-5),""),IF(OR(_xlpm.v="",_xlpm.v=0),"",_xlpm.v))</f>
        <v/>
      </c>
      <c r="H33" s="59" t="str" cm="1">
        <f t="array" ref="H33">_xlfn.LET(_xlpm.v,IFERROR(INDEX(_xlfn._xlws.FILTER(market_overview[spread_bps],market_overview[category]="US Equity"),ROW()-5),""),IF(OR(_xlpm.v="",_xlpm.v=0),"",_xlpm.v))</f>
        <v/>
      </c>
      <c r="I33" s="46" t="str" cm="1">
        <f t="array" ref="I33">IFERROR(INDEX(_xlfn._xlws.FILTER(market_overview[quote_age_seconds],market_overview[category]="US Equity"),28),"")</f>
        <v/>
      </c>
      <c r="J33" s="3" t="str" cm="1">
        <f t="array" ref="J33">IF(A33="","",IF(INDEX(_xlfn._xlws.FILTER(market_overview[market_expected_open],market_overview[category]="US Equity"),28)="YES","OPEN","CLOSED"))</f>
        <v/>
      </c>
      <c r="K33" s="3" t="str" cm="1">
        <f t="array" ref="K33">IF(A33="","",_xlfn.LET(_xlpm.mkt,INDEX(_xlfn._xlws.FILTER(market_overview[market_stale_flag],market_overview[category]="US Equity"),28),_xlpm.q,INDEX(_xlfn._xlws.FILTER(market_overview[quote_stale_flag],market_overview[category]="US Equity"),28),_xlpm.op,INDEX(_xlfn._xlws.FILTER(market_overview[market_expected_open],market_overview[category]="US Equity"),28),IF(_xlpm.op="NO","MARKET_CLOSED",IF(OR(_xlpm.mkt="STALE",_xlpm.q="STALE"),"STALE","OK"))))</f>
        <v/>
      </c>
      <c r="L33" s="3" t="str" cm="1">
        <f t="array" ref="L33">IFERROR(INDEX(_xlfn._xlws.FILTER(market_overview[market_outlier_flag],market_overview[category]="US Equity"),28),"")</f>
        <v/>
      </c>
      <c r="M33" s="3" t="str" cm="1">
        <f t="array" ref="M33">IFERROR(INDEX(_xlfn._xlws.FILTER(market_overview[crossed_flag],market_overview[category]="US Equity"),28),"")</f>
        <v/>
      </c>
      <c r="N33" s="3" t="str" cm="1">
        <f t="array" ref="N33">IFERROR(INDEX(_xlfn._xlws.FILTER(market_overview[locked_flag],market_overview[category]="US Equity"),28),"")</f>
        <v/>
      </c>
    </row>
    <row r="34" spans="1:14" x14ac:dyDescent="0.2">
      <c r="A34" s="3" t="str" cm="1">
        <f t="array" ref="A34">IFERROR(INDEX(_xlfn._xlws.FILTER(market_overview[symbol],market_overview[category]="US Equity"),29),"")</f>
        <v/>
      </c>
      <c r="B34" s="3" t="str" cm="1">
        <f t="array" ref="B34">IFERROR(INDEX(_xlfn._xlws.FILTER(market_overview[name],market_overview[category]="US Equity"),29),"")</f>
        <v/>
      </c>
      <c r="C34" s="8" t="str" cm="1">
        <f t="array" ref="C34">IFERROR(INDEX(_xlfn._xlws.FILTER(market_overview[price],market_overview[category]="US Equity"),29),"")</f>
        <v/>
      </c>
      <c r="D34" s="9" t="str" cm="1">
        <f t="array" ref="D34">IFERROR(INDEX(_xlfn._xlws.FILTER(market_overview[move_bps],market_overview[category]="US Equity"),29),"")</f>
        <v/>
      </c>
      <c r="E34" s="8" t="str" cm="1">
        <f t="array" ref="E34">_xlfn.LET(_xlpm.v,IFERROR(INDEX(_xlfn._xlws.FILTER(market_overview[bid],market_overview[category]="US Equity"),ROW()-5),""),IF(OR(_xlpm.v="",_xlpm.v=0),"",_xlpm.v))</f>
        <v/>
      </c>
      <c r="F34" s="8" t="str" cm="1">
        <f t="array" ref="F34">_xlfn.LET(_xlpm.v,IFERROR(INDEX(_xlfn._xlws.FILTER(market_overview[ask],market_overview[category]="US Equity"),ROW()-5),""),IF(OR(_xlpm.v="",_xlpm.v=0),"",_xlpm.v))</f>
        <v/>
      </c>
      <c r="G34" s="8" t="str" cm="1">
        <f t="array" ref="G34">_xlfn.LET(_xlpm.v,IFERROR(INDEX(_xlfn._xlws.FILTER(market_overview[mid],market_overview[category]="US Equity"),ROW()-5),""),IF(OR(_xlpm.v="",_xlpm.v=0),"",_xlpm.v))</f>
        <v/>
      </c>
      <c r="H34" s="59" t="str" cm="1">
        <f t="array" ref="H34">_xlfn.LET(_xlpm.v,IFERROR(INDEX(_xlfn._xlws.FILTER(market_overview[spread_bps],market_overview[category]="US Equity"),ROW()-5),""),IF(OR(_xlpm.v="",_xlpm.v=0),"",_xlpm.v))</f>
        <v/>
      </c>
      <c r="I34" s="46" t="str" cm="1">
        <f t="array" ref="I34">IFERROR(INDEX(_xlfn._xlws.FILTER(market_overview[quote_age_seconds],market_overview[category]="US Equity"),29),"")</f>
        <v/>
      </c>
      <c r="J34" s="3" t="str" cm="1">
        <f t="array" ref="J34">IF(A34="","",IF(INDEX(_xlfn._xlws.FILTER(market_overview[market_expected_open],market_overview[category]="US Equity"),29)="YES","OPEN","CLOSED"))</f>
        <v/>
      </c>
      <c r="K34" s="3" t="str" cm="1">
        <f t="array" ref="K34">IF(A34="","",_xlfn.LET(_xlpm.mkt,INDEX(_xlfn._xlws.FILTER(market_overview[market_stale_flag],market_overview[category]="US Equity"),29),_xlpm.q,INDEX(_xlfn._xlws.FILTER(market_overview[quote_stale_flag],market_overview[category]="US Equity"),29),_xlpm.op,INDEX(_xlfn._xlws.FILTER(market_overview[market_expected_open],market_overview[category]="US Equity"),29),IF(_xlpm.op="NO","MARKET_CLOSED",IF(OR(_xlpm.mkt="STALE",_xlpm.q="STALE"),"STALE","OK"))))</f>
        <v/>
      </c>
      <c r="L34" s="3" t="str" cm="1">
        <f t="array" ref="L34">IFERROR(INDEX(_xlfn._xlws.FILTER(market_overview[market_outlier_flag],market_overview[category]="US Equity"),29),"")</f>
        <v/>
      </c>
      <c r="M34" s="3" t="str" cm="1">
        <f t="array" ref="M34">IFERROR(INDEX(_xlfn._xlws.FILTER(market_overview[crossed_flag],market_overview[category]="US Equity"),29),"")</f>
        <v/>
      </c>
      <c r="N34" s="3" t="str" cm="1">
        <f t="array" ref="N34">IFERROR(INDEX(_xlfn._xlws.FILTER(market_overview[locked_flag],market_overview[category]="US Equity"),29),"")</f>
        <v/>
      </c>
    </row>
    <row r="35" spans="1:14" x14ac:dyDescent="0.2">
      <c r="A35" s="3" t="str" cm="1">
        <f t="array" ref="A35">IFERROR(INDEX(_xlfn._xlws.FILTER(market_overview[symbol],market_overview[category]="US Equity"),30),"")</f>
        <v/>
      </c>
      <c r="B35" s="3" t="str" cm="1">
        <f t="array" ref="B35">IFERROR(INDEX(_xlfn._xlws.FILTER(market_overview[name],market_overview[category]="US Equity"),30),"")</f>
        <v/>
      </c>
      <c r="C35" s="8" t="str" cm="1">
        <f t="array" ref="C35">IFERROR(INDEX(_xlfn._xlws.FILTER(market_overview[price],market_overview[category]="US Equity"),30),"")</f>
        <v/>
      </c>
      <c r="D35" s="9" t="str" cm="1">
        <f t="array" ref="D35">IFERROR(INDEX(_xlfn._xlws.FILTER(market_overview[move_bps],market_overview[category]="US Equity"),30),"")</f>
        <v/>
      </c>
      <c r="E35" s="8" t="str" cm="1">
        <f t="array" ref="E35">_xlfn.LET(_xlpm.v,IFERROR(INDEX(_xlfn._xlws.FILTER(market_overview[bid],market_overview[category]="US Equity"),ROW()-5),""),IF(OR(_xlpm.v="",_xlpm.v=0),"",_xlpm.v))</f>
        <v/>
      </c>
      <c r="F35" s="8" t="str" cm="1">
        <f t="array" ref="F35">_xlfn.LET(_xlpm.v,IFERROR(INDEX(_xlfn._xlws.FILTER(market_overview[ask],market_overview[category]="US Equity"),ROW()-5),""),IF(OR(_xlpm.v="",_xlpm.v=0),"",_xlpm.v))</f>
        <v/>
      </c>
      <c r="G35" s="8" t="str" cm="1">
        <f t="array" ref="G35">_xlfn.LET(_xlpm.v,IFERROR(INDEX(_xlfn._xlws.FILTER(market_overview[mid],market_overview[category]="US Equity"),ROW()-5),""),IF(OR(_xlpm.v="",_xlpm.v=0),"",_xlpm.v))</f>
        <v/>
      </c>
      <c r="H35" s="59" t="str" cm="1">
        <f t="array" ref="H35">_xlfn.LET(_xlpm.v,IFERROR(INDEX(_xlfn._xlws.FILTER(market_overview[spread_bps],market_overview[category]="US Equity"),ROW()-5),""),IF(OR(_xlpm.v="",_xlpm.v=0),"",_xlpm.v))</f>
        <v/>
      </c>
      <c r="I35" s="46" t="str" cm="1">
        <f t="array" ref="I35">IFERROR(INDEX(_xlfn._xlws.FILTER(market_overview[quote_age_seconds],market_overview[category]="US Equity"),30),"")</f>
        <v/>
      </c>
      <c r="J35" s="3" t="str" cm="1">
        <f t="array" ref="J35">IF(A35="","",IF(INDEX(_xlfn._xlws.FILTER(market_overview[market_expected_open],market_overview[category]="US Equity"),30)="YES","OPEN","CLOSED"))</f>
        <v/>
      </c>
      <c r="K35" s="3" t="str" cm="1">
        <f t="array" ref="K35">IF(A35="","",_xlfn.LET(_xlpm.mkt,INDEX(_xlfn._xlws.FILTER(market_overview[market_stale_flag],market_overview[category]="US Equity"),30),_xlpm.q,INDEX(_xlfn._xlws.FILTER(market_overview[quote_stale_flag],market_overview[category]="US Equity"),30),_xlpm.op,INDEX(_xlfn._xlws.FILTER(market_overview[market_expected_open],market_overview[category]="US Equity"),30),IF(_xlpm.op="NO","MARKET_CLOSED",IF(OR(_xlpm.mkt="STALE",_xlpm.q="STALE"),"STALE","OK"))))</f>
        <v/>
      </c>
      <c r="L35" s="3" t="str" cm="1">
        <f t="array" ref="L35">IFERROR(INDEX(_xlfn._xlws.FILTER(market_overview[market_outlier_flag],market_overview[category]="US Equity"),30),"")</f>
        <v/>
      </c>
      <c r="M35" s="3" t="str" cm="1">
        <f t="array" ref="M35">IFERROR(INDEX(_xlfn._xlws.FILTER(market_overview[crossed_flag],market_overview[category]="US Equity"),30),"")</f>
        <v/>
      </c>
      <c r="N35" s="3" t="str" cm="1">
        <f t="array" ref="N35">IFERROR(INDEX(_xlfn._xlws.FILTER(market_overview[locked_flag],market_overview[category]="US Equity"),30),"")</f>
        <v/>
      </c>
    </row>
    <row r="36" spans="1:14" x14ac:dyDescent="0.2">
      <c r="A36" s="3" t="str" cm="1">
        <f t="array" ref="A36">IFERROR(INDEX(_xlfn._xlws.FILTER(market_overview[symbol],market_overview[category]="US Equity"),31),"")</f>
        <v/>
      </c>
      <c r="B36" s="3" t="str" cm="1">
        <f t="array" ref="B36">IFERROR(INDEX(_xlfn._xlws.FILTER(market_overview[name],market_overview[category]="US Equity"),31),"")</f>
        <v/>
      </c>
      <c r="C36" s="8" t="str" cm="1">
        <f t="array" ref="C36">IFERROR(INDEX(_xlfn._xlws.FILTER(market_overview[price],market_overview[category]="US Equity"),31),"")</f>
        <v/>
      </c>
      <c r="D36" s="9" t="str" cm="1">
        <f t="array" ref="D36">IFERROR(INDEX(_xlfn._xlws.FILTER(market_overview[move_bps],market_overview[category]="US Equity"),31),"")</f>
        <v/>
      </c>
      <c r="E36" s="8" t="str" cm="1">
        <f t="array" ref="E36">_xlfn.LET(_xlpm.v,IFERROR(INDEX(_xlfn._xlws.FILTER(market_overview[bid],market_overview[category]="US Equity"),ROW()-5),""),IF(OR(_xlpm.v="",_xlpm.v=0),"",_xlpm.v))</f>
        <v/>
      </c>
      <c r="F36" s="8" t="str" cm="1">
        <f t="array" ref="F36">_xlfn.LET(_xlpm.v,IFERROR(INDEX(_xlfn._xlws.FILTER(market_overview[ask],market_overview[category]="US Equity"),ROW()-5),""),IF(OR(_xlpm.v="",_xlpm.v=0),"",_xlpm.v))</f>
        <v/>
      </c>
      <c r="G36" s="8" t="str" cm="1">
        <f t="array" ref="G36">_xlfn.LET(_xlpm.v,IFERROR(INDEX(_xlfn._xlws.FILTER(market_overview[mid],market_overview[category]="US Equity"),ROW()-5),""),IF(OR(_xlpm.v="",_xlpm.v=0),"",_xlpm.v))</f>
        <v/>
      </c>
      <c r="H36" s="59" t="str" cm="1">
        <f t="array" ref="H36">_xlfn.LET(_xlpm.v,IFERROR(INDEX(_xlfn._xlws.FILTER(market_overview[spread_bps],market_overview[category]="US Equity"),ROW()-5),""),IF(OR(_xlpm.v="",_xlpm.v=0),"",_xlpm.v))</f>
        <v/>
      </c>
      <c r="I36" s="46" t="str" cm="1">
        <f t="array" ref="I36">IFERROR(INDEX(_xlfn._xlws.FILTER(market_overview[quote_age_seconds],market_overview[category]="US Equity"),31),"")</f>
        <v/>
      </c>
      <c r="J36" s="3" t="str" cm="1">
        <f t="array" ref="J36">IF(A36="","",IF(INDEX(_xlfn._xlws.FILTER(market_overview[market_expected_open],market_overview[category]="US Equity"),31)="YES","OPEN","CLOSED"))</f>
        <v/>
      </c>
      <c r="K36" s="3" t="str" cm="1">
        <f t="array" ref="K36">IF(A36="","",_xlfn.LET(_xlpm.mkt,INDEX(_xlfn._xlws.FILTER(market_overview[market_stale_flag],market_overview[category]="US Equity"),31),_xlpm.q,INDEX(_xlfn._xlws.FILTER(market_overview[quote_stale_flag],market_overview[category]="US Equity"),31),_xlpm.op,INDEX(_xlfn._xlws.FILTER(market_overview[market_expected_open],market_overview[category]="US Equity"),31),IF(_xlpm.op="NO","MARKET_CLOSED",IF(OR(_xlpm.mkt="STALE",_xlpm.q="STALE"),"STALE","OK"))))</f>
        <v/>
      </c>
      <c r="L36" s="3" t="str" cm="1">
        <f t="array" ref="L36">IFERROR(INDEX(_xlfn._xlws.FILTER(market_overview[market_outlier_flag],market_overview[category]="US Equity"),31),"")</f>
        <v/>
      </c>
      <c r="M36" s="3" t="str" cm="1">
        <f t="array" ref="M36">IFERROR(INDEX(_xlfn._xlws.FILTER(market_overview[crossed_flag],market_overview[category]="US Equity"),31),"")</f>
        <v/>
      </c>
      <c r="N36" s="3" t="str" cm="1">
        <f t="array" ref="N36">IFERROR(INDEX(_xlfn._xlws.FILTER(market_overview[locked_flag],market_overview[category]="US Equity"),31),"")</f>
        <v/>
      </c>
    </row>
    <row r="37" spans="1:14" x14ac:dyDescent="0.2">
      <c r="A37" s="3" t="str" cm="1">
        <f t="array" ref="A37">IFERROR(INDEX(_xlfn._xlws.FILTER(market_overview[symbol],market_overview[category]="US Equity"),32),"")</f>
        <v/>
      </c>
      <c r="B37" s="3" t="str" cm="1">
        <f t="array" ref="B37">IFERROR(INDEX(_xlfn._xlws.FILTER(market_overview[name],market_overview[category]="US Equity"),32),"")</f>
        <v/>
      </c>
      <c r="C37" s="8" t="str" cm="1">
        <f t="array" ref="C37">IFERROR(INDEX(_xlfn._xlws.FILTER(market_overview[price],market_overview[category]="US Equity"),32),"")</f>
        <v/>
      </c>
      <c r="D37" s="9" t="str" cm="1">
        <f t="array" ref="D37">IFERROR(INDEX(_xlfn._xlws.FILTER(market_overview[move_bps],market_overview[category]="US Equity"),32),"")</f>
        <v/>
      </c>
      <c r="E37" s="8" t="str" cm="1">
        <f t="array" ref="E37">_xlfn.LET(_xlpm.v,IFERROR(INDEX(_xlfn._xlws.FILTER(market_overview[bid],market_overview[category]="US Equity"),ROW()-5),""),IF(OR(_xlpm.v="",_xlpm.v=0),"",_xlpm.v))</f>
        <v/>
      </c>
      <c r="F37" s="8" t="str" cm="1">
        <f t="array" ref="F37">_xlfn.LET(_xlpm.v,IFERROR(INDEX(_xlfn._xlws.FILTER(market_overview[ask],market_overview[category]="US Equity"),ROW()-5),""),IF(OR(_xlpm.v="",_xlpm.v=0),"",_xlpm.v))</f>
        <v/>
      </c>
      <c r="G37" s="8" t="str" cm="1">
        <f t="array" ref="G37">_xlfn.LET(_xlpm.v,IFERROR(INDEX(_xlfn._xlws.FILTER(market_overview[mid],market_overview[category]="US Equity"),ROW()-5),""),IF(OR(_xlpm.v="",_xlpm.v=0),"",_xlpm.v))</f>
        <v/>
      </c>
      <c r="H37" s="59" t="str" cm="1">
        <f t="array" ref="H37">_xlfn.LET(_xlpm.v,IFERROR(INDEX(_xlfn._xlws.FILTER(market_overview[spread_bps],market_overview[category]="US Equity"),ROW()-5),""),IF(OR(_xlpm.v="",_xlpm.v=0),"",_xlpm.v))</f>
        <v/>
      </c>
      <c r="I37" s="46" t="str" cm="1">
        <f t="array" ref="I37">IFERROR(INDEX(_xlfn._xlws.FILTER(market_overview[quote_age_seconds],market_overview[category]="US Equity"),32),"")</f>
        <v/>
      </c>
      <c r="J37" s="3" t="str" cm="1">
        <f t="array" ref="J37">IF(A37="","",IF(INDEX(_xlfn._xlws.FILTER(market_overview[market_expected_open],market_overview[category]="US Equity"),32)="YES","OPEN","CLOSED"))</f>
        <v/>
      </c>
      <c r="K37" s="3" t="str" cm="1">
        <f t="array" ref="K37">IF(A37="","",_xlfn.LET(_xlpm.mkt,INDEX(_xlfn._xlws.FILTER(market_overview[market_stale_flag],market_overview[category]="US Equity"),32),_xlpm.q,INDEX(_xlfn._xlws.FILTER(market_overview[quote_stale_flag],market_overview[category]="US Equity"),32),_xlpm.op,INDEX(_xlfn._xlws.FILTER(market_overview[market_expected_open],market_overview[category]="US Equity"),32),IF(_xlpm.op="NO","MARKET_CLOSED",IF(OR(_xlpm.mkt="STALE",_xlpm.q="STALE"),"STALE","OK"))))</f>
        <v/>
      </c>
      <c r="L37" s="3" t="str" cm="1">
        <f t="array" ref="L37">IFERROR(INDEX(_xlfn._xlws.FILTER(market_overview[market_outlier_flag],market_overview[category]="US Equity"),32),"")</f>
        <v/>
      </c>
      <c r="M37" s="3" t="str" cm="1">
        <f t="array" ref="M37">IFERROR(INDEX(_xlfn._xlws.FILTER(market_overview[crossed_flag],market_overview[category]="US Equity"),32),"")</f>
        <v/>
      </c>
      <c r="N37" s="3" t="str" cm="1">
        <f t="array" ref="N37">IFERROR(INDEX(_xlfn._xlws.FILTER(market_overview[locked_flag],market_overview[category]="US Equity"),32),"")</f>
        <v/>
      </c>
    </row>
    <row r="38" spans="1:14" x14ac:dyDescent="0.2">
      <c r="A38" s="3" t="str" cm="1">
        <f t="array" ref="A38">IFERROR(INDEX(_xlfn._xlws.FILTER(market_overview[symbol],market_overview[category]="US Equity"),33),"")</f>
        <v/>
      </c>
      <c r="B38" s="3" t="str" cm="1">
        <f t="array" ref="B38">IFERROR(INDEX(_xlfn._xlws.FILTER(market_overview[name],market_overview[category]="US Equity"),33),"")</f>
        <v/>
      </c>
      <c r="C38" s="8" t="str" cm="1">
        <f t="array" ref="C38">IFERROR(INDEX(_xlfn._xlws.FILTER(market_overview[price],market_overview[category]="US Equity"),33),"")</f>
        <v/>
      </c>
      <c r="D38" s="9" t="str" cm="1">
        <f t="array" ref="D38">IFERROR(INDEX(_xlfn._xlws.FILTER(market_overview[move_bps],market_overview[category]="US Equity"),33),"")</f>
        <v/>
      </c>
      <c r="E38" s="8" t="str" cm="1">
        <f t="array" ref="E38">_xlfn.LET(_xlpm.v,IFERROR(INDEX(_xlfn._xlws.FILTER(market_overview[bid],market_overview[category]="US Equity"),ROW()-5),""),IF(OR(_xlpm.v="",_xlpm.v=0),"",_xlpm.v))</f>
        <v/>
      </c>
      <c r="F38" s="8" t="str" cm="1">
        <f t="array" ref="F38">_xlfn.LET(_xlpm.v,IFERROR(INDEX(_xlfn._xlws.FILTER(market_overview[ask],market_overview[category]="US Equity"),ROW()-5),""),IF(OR(_xlpm.v="",_xlpm.v=0),"",_xlpm.v))</f>
        <v/>
      </c>
      <c r="G38" s="8" t="str" cm="1">
        <f t="array" ref="G38">_xlfn.LET(_xlpm.v,IFERROR(INDEX(_xlfn._xlws.FILTER(market_overview[mid],market_overview[category]="US Equity"),ROW()-5),""),IF(OR(_xlpm.v="",_xlpm.v=0),"",_xlpm.v))</f>
        <v/>
      </c>
      <c r="H38" s="59" t="str" cm="1">
        <f t="array" ref="H38">_xlfn.LET(_xlpm.v,IFERROR(INDEX(_xlfn._xlws.FILTER(market_overview[spread_bps],market_overview[category]="US Equity"),ROW()-5),""),IF(OR(_xlpm.v="",_xlpm.v=0),"",_xlpm.v))</f>
        <v/>
      </c>
      <c r="I38" s="46" t="str" cm="1">
        <f t="array" ref="I38">IFERROR(INDEX(_xlfn._xlws.FILTER(market_overview[quote_age_seconds],market_overview[category]="US Equity"),33),"")</f>
        <v/>
      </c>
      <c r="J38" s="3" t="str" cm="1">
        <f t="array" ref="J38">IF(A38="","",IF(INDEX(_xlfn._xlws.FILTER(market_overview[market_expected_open],market_overview[category]="US Equity"),33)="YES","OPEN","CLOSED"))</f>
        <v/>
      </c>
      <c r="K38" s="3" t="str" cm="1">
        <f t="array" ref="K38">IF(A38="","",_xlfn.LET(_xlpm.mkt,INDEX(_xlfn._xlws.FILTER(market_overview[market_stale_flag],market_overview[category]="US Equity"),33),_xlpm.q,INDEX(_xlfn._xlws.FILTER(market_overview[quote_stale_flag],market_overview[category]="US Equity"),33),_xlpm.op,INDEX(_xlfn._xlws.FILTER(market_overview[market_expected_open],market_overview[category]="US Equity"),33),IF(_xlpm.op="NO","MARKET_CLOSED",IF(OR(_xlpm.mkt="STALE",_xlpm.q="STALE"),"STALE","OK"))))</f>
        <v/>
      </c>
      <c r="L38" s="3" t="str" cm="1">
        <f t="array" ref="L38">IFERROR(INDEX(_xlfn._xlws.FILTER(market_overview[market_outlier_flag],market_overview[category]="US Equity"),33),"")</f>
        <v/>
      </c>
      <c r="M38" s="3" t="str" cm="1">
        <f t="array" ref="M38">IFERROR(INDEX(_xlfn._xlws.FILTER(market_overview[crossed_flag],market_overview[category]="US Equity"),33),"")</f>
        <v/>
      </c>
      <c r="N38" s="3" t="str" cm="1">
        <f t="array" ref="N38">IFERROR(INDEX(_xlfn._xlws.FILTER(market_overview[locked_flag],market_overview[category]="US Equity"),33),"")</f>
        <v/>
      </c>
    </row>
    <row r="39" spans="1:14" x14ac:dyDescent="0.2">
      <c r="A39" s="3" t="str" cm="1">
        <f t="array" ref="A39">IFERROR(INDEX(_xlfn._xlws.FILTER(market_overview[symbol],market_overview[category]="US Equity"),34),"")</f>
        <v/>
      </c>
      <c r="B39" s="3" t="str" cm="1">
        <f t="array" ref="B39">IFERROR(INDEX(_xlfn._xlws.FILTER(market_overview[name],market_overview[category]="US Equity"),34),"")</f>
        <v/>
      </c>
      <c r="C39" s="8" t="str" cm="1">
        <f t="array" ref="C39">IFERROR(INDEX(_xlfn._xlws.FILTER(market_overview[price],market_overview[category]="US Equity"),34),"")</f>
        <v/>
      </c>
      <c r="D39" s="9" t="str" cm="1">
        <f t="array" ref="D39">IFERROR(INDEX(_xlfn._xlws.FILTER(market_overview[move_bps],market_overview[category]="US Equity"),34),"")</f>
        <v/>
      </c>
      <c r="E39" s="8" t="str" cm="1">
        <f t="array" ref="E39">_xlfn.LET(_xlpm.v,IFERROR(INDEX(_xlfn._xlws.FILTER(market_overview[bid],market_overview[category]="US Equity"),ROW()-5),""),IF(OR(_xlpm.v="",_xlpm.v=0),"",_xlpm.v))</f>
        <v/>
      </c>
      <c r="F39" s="8" t="str" cm="1">
        <f t="array" ref="F39">_xlfn.LET(_xlpm.v,IFERROR(INDEX(_xlfn._xlws.FILTER(market_overview[ask],market_overview[category]="US Equity"),ROW()-5),""),IF(OR(_xlpm.v="",_xlpm.v=0),"",_xlpm.v))</f>
        <v/>
      </c>
      <c r="G39" s="8" t="str" cm="1">
        <f t="array" ref="G39">_xlfn.LET(_xlpm.v,IFERROR(INDEX(_xlfn._xlws.FILTER(market_overview[mid],market_overview[category]="US Equity"),ROW()-5),""),IF(OR(_xlpm.v="",_xlpm.v=0),"",_xlpm.v))</f>
        <v/>
      </c>
      <c r="H39" s="59" t="str" cm="1">
        <f t="array" ref="H39">_xlfn.LET(_xlpm.v,IFERROR(INDEX(_xlfn._xlws.FILTER(market_overview[spread_bps],market_overview[category]="US Equity"),ROW()-5),""),IF(OR(_xlpm.v="",_xlpm.v=0),"",_xlpm.v))</f>
        <v/>
      </c>
      <c r="I39" s="46" t="str" cm="1">
        <f t="array" ref="I39">IFERROR(INDEX(_xlfn._xlws.FILTER(market_overview[quote_age_seconds],market_overview[category]="US Equity"),34),"")</f>
        <v/>
      </c>
      <c r="J39" s="3" t="str" cm="1">
        <f t="array" ref="J39">IF(A39="","",IF(INDEX(_xlfn._xlws.FILTER(market_overview[market_expected_open],market_overview[category]="US Equity"),34)="YES","OPEN","CLOSED"))</f>
        <v/>
      </c>
      <c r="K39" s="3" t="str" cm="1">
        <f t="array" ref="K39">IF(A39="","",_xlfn.LET(_xlpm.mkt,INDEX(_xlfn._xlws.FILTER(market_overview[market_stale_flag],market_overview[category]="US Equity"),34),_xlpm.q,INDEX(_xlfn._xlws.FILTER(market_overview[quote_stale_flag],market_overview[category]="US Equity"),34),_xlpm.op,INDEX(_xlfn._xlws.FILTER(market_overview[market_expected_open],market_overview[category]="US Equity"),34),IF(_xlpm.op="NO","MARKET_CLOSED",IF(OR(_xlpm.mkt="STALE",_xlpm.q="STALE"),"STALE","OK"))))</f>
        <v/>
      </c>
      <c r="L39" s="3" t="str" cm="1">
        <f t="array" ref="L39">IFERROR(INDEX(_xlfn._xlws.FILTER(market_overview[market_outlier_flag],market_overview[category]="US Equity"),34),"")</f>
        <v/>
      </c>
      <c r="M39" s="3" t="str" cm="1">
        <f t="array" ref="M39">IFERROR(INDEX(_xlfn._xlws.FILTER(market_overview[crossed_flag],market_overview[category]="US Equity"),34),"")</f>
        <v/>
      </c>
      <c r="N39" s="3" t="str" cm="1">
        <f t="array" ref="N39">IFERROR(INDEX(_xlfn._xlws.FILTER(market_overview[locked_flag],market_overview[category]="US Equity"),34),"")</f>
        <v/>
      </c>
    </row>
    <row r="40" spans="1:14" x14ac:dyDescent="0.2">
      <c r="A40" s="3" t="str" cm="1">
        <f t="array" ref="A40">IFERROR(INDEX(_xlfn._xlws.FILTER(market_overview[symbol],market_overview[category]="US Equity"),35),"")</f>
        <v/>
      </c>
      <c r="B40" s="3" t="str" cm="1">
        <f t="array" ref="B40">IFERROR(INDEX(_xlfn._xlws.FILTER(market_overview[name],market_overview[category]="US Equity"),35),"")</f>
        <v/>
      </c>
      <c r="C40" s="8" t="str" cm="1">
        <f t="array" ref="C40">IFERROR(INDEX(_xlfn._xlws.FILTER(market_overview[price],market_overview[category]="US Equity"),35),"")</f>
        <v/>
      </c>
      <c r="D40" s="9" t="str" cm="1">
        <f t="array" ref="D40">IFERROR(INDEX(_xlfn._xlws.FILTER(market_overview[move_bps],market_overview[category]="US Equity"),35),"")</f>
        <v/>
      </c>
      <c r="E40" s="8" t="str" cm="1">
        <f t="array" ref="E40">_xlfn.LET(_xlpm.v,IFERROR(INDEX(_xlfn._xlws.FILTER(market_overview[bid],market_overview[category]="US Equity"),ROW()-5),""),IF(OR(_xlpm.v="",_xlpm.v=0),"",_xlpm.v))</f>
        <v/>
      </c>
      <c r="F40" s="8" t="str" cm="1">
        <f t="array" ref="F40">_xlfn.LET(_xlpm.v,IFERROR(INDEX(_xlfn._xlws.FILTER(market_overview[ask],market_overview[category]="US Equity"),ROW()-5),""),IF(OR(_xlpm.v="",_xlpm.v=0),"",_xlpm.v))</f>
        <v/>
      </c>
      <c r="G40" s="8" t="str" cm="1">
        <f t="array" ref="G40">_xlfn.LET(_xlpm.v,IFERROR(INDEX(_xlfn._xlws.FILTER(market_overview[mid],market_overview[category]="US Equity"),ROW()-5),""),IF(OR(_xlpm.v="",_xlpm.v=0),"",_xlpm.v))</f>
        <v/>
      </c>
      <c r="H40" s="59" t="str" cm="1">
        <f t="array" ref="H40">_xlfn.LET(_xlpm.v,IFERROR(INDEX(_xlfn._xlws.FILTER(market_overview[spread_bps],market_overview[category]="US Equity"),ROW()-5),""),IF(OR(_xlpm.v="",_xlpm.v=0),"",_xlpm.v))</f>
        <v/>
      </c>
      <c r="I40" s="46" t="str" cm="1">
        <f t="array" ref="I40">IFERROR(INDEX(_xlfn._xlws.FILTER(market_overview[quote_age_seconds],market_overview[category]="US Equity"),35),"")</f>
        <v/>
      </c>
      <c r="J40" s="3" t="str" cm="1">
        <f t="array" ref="J40">IF(A40="","",IF(INDEX(_xlfn._xlws.FILTER(market_overview[market_expected_open],market_overview[category]="US Equity"),35)="YES","OPEN","CLOSED"))</f>
        <v/>
      </c>
      <c r="K40" s="3" t="str" cm="1">
        <f t="array" ref="K40">IF(A40="","",_xlfn.LET(_xlpm.mkt,INDEX(_xlfn._xlws.FILTER(market_overview[market_stale_flag],market_overview[category]="US Equity"),35),_xlpm.q,INDEX(_xlfn._xlws.FILTER(market_overview[quote_stale_flag],market_overview[category]="US Equity"),35),_xlpm.op,INDEX(_xlfn._xlws.FILTER(market_overview[market_expected_open],market_overview[category]="US Equity"),35),IF(_xlpm.op="NO","MARKET_CLOSED",IF(OR(_xlpm.mkt="STALE",_xlpm.q="STALE"),"STALE","OK"))))</f>
        <v/>
      </c>
      <c r="L40" s="3" t="str" cm="1">
        <f t="array" ref="L40">IFERROR(INDEX(_xlfn._xlws.FILTER(market_overview[market_outlier_flag],market_overview[category]="US Equity"),35),"")</f>
        <v/>
      </c>
      <c r="M40" s="3" t="str" cm="1">
        <f t="array" ref="M40">IFERROR(INDEX(_xlfn._xlws.FILTER(market_overview[crossed_flag],market_overview[category]="US Equity"),35),"")</f>
        <v/>
      </c>
      <c r="N40" s="3" t="str" cm="1">
        <f t="array" ref="N40">IFERROR(INDEX(_xlfn._xlws.FILTER(market_overview[locked_flag],market_overview[category]="US Equity"),35),"")</f>
        <v/>
      </c>
    </row>
    <row r="41" spans="1:14" x14ac:dyDescent="0.2">
      <c r="A41" s="3" t="str" cm="1">
        <f t="array" ref="A41">IFERROR(INDEX(_xlfn._xlws.FILTER(market_overview[symbol],market_overview[category]="US Equity"),36),"")</f>
        <v/>
      </c>
      <c r="B41" s="3" t="str" cm="1">
        <f t="array" ref="B41">IFERROR(INDEX(_xlfn._xlws.FILTER(market_overview[name],market_overview[category]="US Equity"),36),"")</f>
        <v/>
      </c>
      <c r="C41" s="8" t="str" cm="1">
        <f t="array" ref="C41">IFERROR(INDEX(_xlfn._xlws.FILTER(market_overview[price],market_overview[category]="US Equity"),36),"")</f>
        <v/>
      </c>
      <c r="D41" s="9" t="str" cm="1">
        <f t="array" ref="D41">IFERROR(INDEX(_xlfn._xlws.FILTER(market_overview[move_bps],market_overview[category]="US Equity"),36),"")</f>
        <v/>
      </c>
      <c r="E41" s="8" t="str" cm="1">
        <f t="array" ref="E41">_xlfn.LET(_xlpm.v,IFERROR(INDEX(_xlfn._xlws.FILTER(market_overview[bid],market_overview[category]="US Equity"),ROW()-5),""),IF(OR(_xlpm.v="",_xlpm.v=0),"",_xlpm.v))</f>
        <v/>
      </c>
      <c r="F41" s="8" t="str" cm="1">
        <f t="array" ref="F41">_xlfn.LET(_xlpm.v,IFERROR(INDEX(_xlfn._xlws.FILTER(market_overview[ask],market_overview[category]="US Equity"),ROW()-5),""),IF(OR(_xlpm.v="",_xlpm.v=0),"",_xlpm.v))</f>
        <v/>
      </c>
      <c r="G41" s="8" t="str" cm="1">
        <f t="array" ref="G41">_xlfn.LET(_xlpm.v,IFERROR(INDEX(_xlfn._xlws.FILTER(market_overview[mid],market_overview[category]="US Equity"),ROW()-5),""),IF(OR(_xlpm.v="",_xlpm.v=0),"",_xlpm.v))</f>
        <v/>
      </c>
      <c r="H41" s="59" t="str" cm="1">
        <f t="array" ref="H41">_xlfn.LET(_xlpm.v,IFERROR(INDEX(_xlfn._xlws.FILTER(market_overview[spread_bps],market_overview[category]="US Equity"),ROW()-5),""),IF(OR(_xlpm.v="",_xlpm.v=0),"",_xlpm.v))</f>
        <v/>
      </c>
      <c r="I41" s="46" t="str" cm="1">
        <f t="array" ref="I41">IFERROR(INDEX(_xlfn._xlws.FILTER(market_overview[quote_age_seconds],market_overview[category]="US Equity"),36),"")</f>
        <v/>
      </c>
      <c r="J41" s="3" t="str" cm="1">
        <f t="array" ref="J41">IF(A41="","",IF(INDEX(_xlfn._xlws.FILTER(market_overview[market_expected_open],market_overview[category]="US Equity"),36)="YES","OPEN","CLOSED"))</f>
        <v/>
      </c>
      <c r="K41" s="3" t="str" cm="1">
        <f t="array" ref="K41">IF(A41="","",_xlfn.LET(_xlpm.mkt,INDEX(_xlfn._xlws.FILTER(market_overview[market_stale_flag],market_overview[category]="US Equity"),36),_xlpm.q,INDEX(_xlfn._xlws.FILTER(market_overview[quote_stale_flag],market_overview[category]="US Equity"),36),_xlpm.op,INDEX(_xlfn._xlws.FILTER(market_overview[market_expected_open],market_overview[category]="US Equity"),36),IF(_xlpm.op="NO","MARKET_CLOSED",IF(OR(_xlpm.mkt="STALE",_xlpm.q="STALE"),"STALE","OK"))))</f>
        <v/>
      </c>
      <c r="L41" s="3" t="str" cm="1">
        <f t="array" ref="L41">IFERROR(INDEX(_xlfn._xlws.FILTER(market_overview[market_outlier_flag],market_overview[category]="US Equity"),36),"")</f>
        <v/>
      </c>
      <c r="M41" s="3" t="str" cm="1">
        <f t="array" ref="M41">IFERROR(INDEX(_xlfn._xlws.FILTER(market_overview[crossed_flag],market_overview[category]="US Equity"),36),"")</f>
        <v/>
      </c>
      <c r="N41" s="3" t="str" cm="1">
        <f t="array" ref="N41">IFERROR(INDEX(_xlfn._xlws.FILTER(market_overview[locked_flag],market_overview[category]="US Equity"),36),"")</f>
        <v/>
      </c>
    </row>
    <row r="42" spans="1:14" x14ac:dyDescent="0.2">
      <c r="A42" s="3" t="str" cm="1">
        <f t="array" ref="A42">IFERROR(INDEX(_xlfn._xlws.FILTER(market_overview[symbol],market_overview[category]="US Equity"),37),"")</f>
        <v/>
      </c>
      <c r="B42" s="3" t="str" cm="1">
        <f t="array" ref="B42">IFERROR(INDEX(_xlfn._xlws.FILTER(market_overview[name],market_overview[category]="US Equity"),37),"")</f>
        <v/>
      </c>
      <c r="C42" s="8" t="str" cm="1">
        <f t="array" ref="C42">IFERROR(INDEX(_xlfn._xlws.FILTER(market_overview[price],market_overview[category]="US Equity"),37),"")</f>
        <v/>
      </c>
      <c r="D42" s="9" t="str" cm="1">
        <f t="array" ref="D42">IFERROR(INDEX(_xlfn._xlws.FILTER(market_overview[move_bps],market_overview[category]="US Equity"),37),"")</f>
        <v/>
      </c>
      <c r="E42" s="8" t="str" cm="1">
        <f t="array" ref="E42">_xlfn.LET(_xlpm.v,IFERROR(INDEX(_xlfn._xlws.FILTER(market_overview[bid],market_overview[category]="US Equity"),ROW()-5),""),IF(OR(_xlpm.v="",_xlpm.v=0),"",_xlpm.v))</f>
        <v/>
      </c>
      <c r="F42" s="8" t="str" cm="1">
        <f t="array" ref="F42">_xlfn.LET(_xlpm.v,IFERROR(INDEX(_xlfn._xlws.FILTER(market_overview[ask],market_overview[category]="US Equity"),ROW()-5),""),IF(OR(_xlpm.v="",_xlpm.v=0),"",_xlpm.v))</f>
        <v/>
      </c>
      <c r="G42" s="8" t="str" cm="1">
        <f t="array" ref="G42">_xlfn.LET(_xlpm.v,IFERROR(INDEX(_xlfn._xlws.FILTER(market_overview[mid],market_overview[category]="US Equity"),ROW()-5),""),IF(OR(_xlpm.v="",_xlpm.v=0),"",_xlpm.v))</f>
        <v/>
      </c>
      <c r="H42" s="59" t="str" cm="1">
        <f t="array" ref="H42">_xlfn.LET(_xlpm.v,IFERROR(INDEX(_xlfn._xlws.FILTER(market_overview[spread_bps],market_overview[category]="US Equity"),ROW()-5),""),IF(OR(_xlpm.v="",_xlpm.v=0),"",_xlpm.v))</f>
        <v/>
      </c>
      <c r="I42" s="46" t="str" cm="1">
        <f t="array" ref="I42">IFERROR(INDEX(_xlfn._xlws.FILTER(market_overview[quote_age_seconds],market_overview[category]="US Equity"),37),"")</f>
        <v/>
      </c>
      <c r="J42" s="3" t="str" cm="1">
        <f t="array" ref="J42">IF(A42="","",IF(INDEX(_xlfn._xlws.FILTER(market_overview[market_expected_open],market_overview[category]="US Equity"),37)="YES","OPEN","CLOSED"))</f>
        <v/>
      </c>
      <c r="K42" s="3" t="str" cm="1">
        <f t="array" ref="K42">IF(A42="","",_xlfn.LET(_xlpm.mkt,INDEX(_xlfn._xlws.FILTER(market_overview[market_stale_flag],market_overview[category]="US Equity"),37),_xlpm.q,INDEX(_xlfn._xlws.FILTER(market_overview[quote_stale_flag],market_overview[category]="US Equity"),37),_xlpm.op,INDEX(_xlfn._xlws.FILTER(market_overview[market_expected_open],market_overview[category]="US Equity"),37),IF(_xlpm.op="NO","MARKET_CLOSED",IF(OR(_xlpm.mkt="STALE",_xlpm.q="STALE"),"STALE","OK"))))</f>
        <v/>
      </c>
      <c r="L42" s="3" t="str" cm="1">
        <f t="array" ref="L42">IFERROR(INDEX(_xlfn._xlws.FILTER(market_overview[market_outlier_flag],market_overview[category]="US Equity"),37),"")</f>
        <v/>
      </c>
      <c r="M42" s="3" t="str" cm="1">
        <f t="array" ref="M42">IFERROR(INDEX(_xlfn._xlws.FILTER(market_overview[crossed_flag],market_overview[category]="US Equity"),37),"")</f>
        <v/>
      </c>
      <c r="N42" s="3" t="str" cm="1">
        <f t="array" ref="N42">IFERROR(INDEX(_xlfn._xlws.FILTER(market_overview[locked_flag],market_overview[category]="US Equity"),37),"")</f>
        <v/>
      </c>
    </row>
    <row r="43" spans="1:14" x14ac:dyDescent="0.2">
      <c r="A43" s="3" t="str" cm="1">
        <f t="array" ref="A43">IFERROR(INDEX(_xlfn._xlws.FILTER(market_overview[symbol],market_overview[category]="US Equity"),38),"")</f>
        <v/>
      </c>
      <c r="B43" s="3" t="str" cm="1">
        <f t="array" ref="B43">IFERROR(INDEX(_xlfn._xlws.FILTER(market_overview[name],market_overview[category]="US Equity"),38),"")</f>
        <v/>
      </c>
      <c r="C43" s="8" t="str" cm="1">
        <f t="array" ref="C43">IFERROR(INDEX(_xlfn._xlws.FILTER(market_overview[price],market_overview[category]="US Equity"),38),"")</f>
        <v/>
      </c>
      <c r="D43" s="9" t="str" cm="1">
        <f t="array" ref="D43">IFERROR(INDEX(_xlfn._xlws.FILTER(market_overview[move_bps],market_overview[category]="US Equity"),38),"")</f>
        <v/>
      </c>
      <c r="E43" s="8" t="str" cm="1">
        <f t="array" ref="E43">_xlfn.LET(_xlpm.v,IFERROR(INDEX(_xlfn._xlws.FILTER(market_overview[bid],market_overview[category]="US Equity"),ROW()-5),""),IF(OR(_xlpm.v="",_xlpm.v=0),"",_xlpm.v))</f>
        <v/>
      </c>
      <c r="F43" s="8" t="str" cm="1">
        <f t="array" ref="F43">_xlfn.LET(_xlpm.v,IFERROR(INDEX(_xlfn._xlws.FILTER(market_overview[ask],market_overview[category]="US Equity"),ROW()-5),""),IF(OR(_xlpm.v="",_xlpm.v=0),"",_xlpm.v))</f>
        <v/>
      </c>
      <c r="G43" s="8" t="str" cm="1">
        <f t="array" ref="G43">_xlfn.LET(_xlpm.v,IFERROR(INDEX(_xlfn._xlws.FILTER(market_overview[mid],market_overview[category]="US Equity"),ROW()-5),""),IF(OR(_xlpm.v="",_xlpm.v=0),"",_xlpm.v))</f>
        <v/>
      </c>
      <c r="H43" s="59" t="str" cm="1">
        <f t="array" ref="H43">_xlfn.LET(_xlpm.v,IFERROR(INDEX(_xlfn._xlws.FILTER(market_overview[spread_bps],market_overview[category]="US Equity"),ROW()-5),""),IF(OR(_xlpm.v="",_xlpm.v=0),"",_xlpm.v))</f>
        <v/>
      </c>
      <c r="I43" s="46" t="str" cm="1">
        <f t="array" ref="I43">IFERROR(INDEX(_xlfn._xlws.FILTER(market_overview[quote_age_seconds],market_overview[category]="US Equity"),38),"")</f>
        <v/>
      </c>
      <c r="J43" s="3" t="str" cm="1">
        <f t="array" ref="J43">IF(A43="","",IF(INDEX(_xlfn._xlws.FILTER(market_overview[market_expected_open],market_overview[category]="US Equity"),38)="YES","OPEN","CLOSED"))</f>
        <v/>
      </c>
      <c r="K43" s="3" t="str" cm="1">
        <f t="array" ref="K43">IF(A43="","",_xlfn.LET(_xlpm.mkt,INDEX(_xlfn._xlws.FILTER(market_overview[market_stale_flag],market_overview[category]="US Equity"),38),_xlpm.q,INDEX(_xlfn._xlws.FILTER(market_overview[quote_stale_flag],market_overview[category]="US Equity"),38),_xlpm.op,INDEX(_xlfn._xlws.FILTER(market_overview[market_expected_open],market_overview[category]="US Equity"),38),IF(_xlpm.op="NO","MARKET_CLOSED",IF(OR(_xlpm.mkt="STALE",_xlpm.q="STALE"),"STALE","OK"))))</f>
        <v/>
      </c>
      <c r="L43" s="3" t="str" cm="1">
        <f t="array" ref="L43">IFERROR(INDEX(_xlfn._xlws.FILTER(market_overview[market_outlier_flag],market_overview[category]="US Equity"),38),"")</f>
        <v/>
      </c>
      <c r="M43" s="3" t="str" cm="1">
        <f t="array" ref="M43">IFERROR(INDEX(_xlfn._xlws.FILTER(market_overview[crossed_flag],market_overview[category]="US Equity"),38),"")</f>
        <v/>
      </c>
      <c r="N43" s="3" t="str" cm="1">
        <f t="array" ref="N43">IFERROR(INDEX(_xlfn._xlws.FILTER(market_overview[locked_flag],market_overview[category]="US Equity"),38),"")</f>
        <v/>
      </c>
    </row>
    <row r="44" spans="1:14" x14ac:dyDescent="0.2">
      <c r="A44" s="3" t="str" cm="1">
        <f t="array" ref="A44">IFERROR(INDEX(_xlfn._xlws.FILTER(market_overview[symbol],market_overview[category]="US Equity"),39),"")</f>
        <v/>
      </c>
      <c r="B44" s="3" t="str" cm="1">
        <f t="array" ref="B44">IFERROR(INDEX(_xlfn._xlws.FILTER(market_overview[name],market_overview[category]="US Equity"),39),"")</f>
        <v/>
      </c>
      <c r="C44" s="8" t="str" cm="1">
        <f t="array" ref="C44">IFERROR(INDEX(_xlfn._xlws.FILTER(market_overview[price],market_overview[category]="US Equity"),39),"")</f>
        <v/>
      </c>
      <c r="D44" s="9" t="str" cm="1">
        <f t="array" ref="D44">IFERROR(INDEX(_xlfn._xlws.FILTER(market_overview[move_bps],market_overview[category]="US Equity"),39),"")</f>
        <v/>
      </c>
      <c r="E44" s="8" t="str" cm="1">
        <f t="array" ref="E44">_xlfn.LET(_xlpm.v,IFERROR(INDEX(_xlfn._xlws.FILTER(market_overview[bid],market_overview[category]="US Equity"),ROW()-5),""),IF(OR(_xlpm.v="",_xlpm.v=0),"",_xlpm.v))</f>
        <v/>
      </c>
      <c r="F44" s="8" t="str" cm="1">
        <f t="array" ref="F44">_xlfn.LET(_xlpm.v,IFERROR(INDEX(_xlfn._xlws.FILTER(market_overview[ask],market_overview[category]="US Equity"),ROW()-5),""),IF(OR(_xlpm.v="",_xlpm.v=0),"",_xlpm.v))</f>
        <v/>
      </c>
      <c r="G44" s="8" t="str" cm="1">
        <f t="array" ref="G44">_xlfn.LET(_xlpm.v,IFERROR(INDEX(_xlfn._xlws.FILTER(market_overview[mid],market_overview[category]="US Equity"),ROW()-5),""),IF(OR(_xlpm.v="",_xlpm.v=0),"",_xlpm.v))</f>
        <v/>
      </c>
      <c r="H44" s="59" t="str" cm="1">
        <f t="array" ref="H44">_xlfn.LET(_xlpm.v,IFERROR(INDEX(_xlfn._xlws.FILTER(market_overview[spread_bps],market_overview[category]="US Equity"),ROW()-5),""),IF(OR(_xlpm.v="",_xlpm.v=0),"",_xlpm.v))</f>
        <v/>
      </c>
      <c r="I44" s="46" t="str" cm="1">
        <f t="array" ref="I44">IFERROR(INDEX(_xlfn._xlws.FILTER(market_overview[quote_age_seconds],market_overview[category]="US Equity"),39),"")</f>
        <v/>
      </c>
      <c r="J44" s="3" t="str" cm="1">
        <f t="array" ref="J44">IF(A44="","",IF(INDEX(_xlfn._xlws.FILTER(market_overview[market_expected_open],market_overview[category]="US Equity"),39)="YES","OPEN","CLOSED"))</f>
        <v/>
      </c>
      <c r="K44" s="3" t="str" cm="1">
        <f t="array" ref="K44">IF(A44="","",_xlfn.LET(_xlpm.mkt,INDEX(_xlfn._xlws.FILTER(market_overview[market_stale_flag],market_overview[category]="US Equity"),39),_xlpm.q,INDEX(_xlfn._xlws.FILTER(market_overview[quote_stale_flag],market_overview[category]="US Equity"),39),_xlpm.op,INDEX(_xlfn._xlws.FILTER(market_overview[market_expected_open],market_overview[category]="US Equity"),39),IF(_xlpm.op="NO","MARKET_CLOSED",IF(OR(_xlpm.mkt="STALE",_xlpm.q="STALE"),"STALE","OK"))))</f>
        <v/>
      </c>
      <c r="L44" s="3" t="str" cm="1">
        <f t="array" ref="L44">IFERROR(INDEX(_xlfn._xlws.FILTER(market_overview[market_outlier_flag],market_overview[category]="US Equity"),39),"")</f>
        <v/>
      </c>
      <c r="M44" s="3" t="str" cm="1">
        <f t="array" ref="M44">IFERROR(INDEX(_xlfn._xlws.FILTER(market_overview[crossed_flag],market_overview[category]="US Equity"),39),"")</f>
        <v/>
      </c>
      <c r="N44" s="3" t="str" cm="1">
        <f t="array" ref="N44">IFERROR(INDEX(_xlfn._xlws.FILTER(market_overview[locked_flag],market_overview[category]="US Equity"),39),"")</f>
        <v/>
      </c>
    </row>
    <row r="45" spans="1:14" x14ac:dyDescent="0.2">
      <c r="A45" s="3" t="str" cm="1">
        <f t="array" ref="A45">IFERROR(INDEX(_xlfn._xlws.FILTER(market_overview[symbol],market_overview[category]="US Equity"),40),"")</f>
        <v/>
      </c>
      <c r="B45" s="3" t="str" cm="1">
        <f t="array" ref="B45">IFERROR(INDEX(_xlfn._xlws.FILTER(market_overview[name],market_overview[category]="US Equity"),40),"")</f>
        <v/>
      </c>
      <c r="C45" s="8" t="str" cm="1">
        <f t="array" ref="C45">IFERROR(INDEX(_xlfn._xlws.FILTER(market_overview[price],market_overview[category]="US Equity"),40),"")</f>
        <v/>
      </c>
      <c r="D45" s="9" t="str" cm="1">
        <f t="array" ref="D45">IFERROR(INDEX(_xlfn._xlws.FILTER(market_overview[move_bps],market_overview[category]="US Equity"),40),"")</f>
        <v/>
      </c>
      <c r="E45" s="8" t="str" cm="1">
        <f t="array" ref="E45">_xlfn.LET(_xlpm.v,IFERROR(INDEX(_xlfn._xlws.FILTER(market_overview[bid],market_overview[category]="US Equity"),ROW()-5),""),IF(OR(_xlpm.v="",_xlpm.v=0),"",_xlpm.v))</f>
        <v/>
      </c>
      <c r="F45" s="8" t="str" cm="1">
        <f t="array" ref="F45">_xlfn.LET(_xlpm.v,IFERROR(INDEX(_xlfn._xlws.FILTER(market_overview[ask],market_overview[category]="US Equity"),ROW()-5),""),IF(OR(_xlpm.v="",_xlpm.v=0),"",_xlpm.v))</f>
        <v/>
      </c>
      <c r="G45" s="8" t="str" cm="1">
        <f t="array" ref="G45">_xlfn.LET(_xlpm.v,IFERROR(INDEX(_xlfn._xlws.FILTER(market_overview[mid],market_overview[category]="US Equity"),ROW()-5),""),IF(OR(_xlpm.v="",_xlpm.v=0),"",_xlpm.v))</f>
        <v/>
      </c>
      <c r="H45" s="59" t="str" cm="1">
        <f t="array" ref="H45">_xlfn.LET(_xlpm.v,IFERROR(INDEX(_xlfn._xlws.FILTER(market_overview[spread_bps],market_overview[category]="US Equity"),ROW()-5),""),IF(OR(_xlpm.v="",_xlpm.v=0),"",_xlpm.v))</f>
        <v/>
      </c>
      <c r="I45" s="46" t="str" cm="1">
        <f t="array" ref="I45">IFERROR(INDEX(_xlfn._xlws.FILTER(market_overview[quote_age_seconds],market_overview[category]="US Equity"),40),"")</f>
        <v/>
      </c>
      <c r="J45" s="3" t="str" cm="1">
        <f t="array" ref="J45">IF(A45="","",IF(INDEX(_xlfn._xlws.FILTER(market_overview[market_expected_open],market_overview[category]="US Equity"),40)="YES","OPEN","CLOSED"))</f>
        <v/>
      </c>
      <c r="K45" s="3" t="str" cm="1">
        <f t="array" ref="K45">IF(A45="","",_xlfn.LET(_xlpm.mkt,INDEX(_xlfn._xlws.FILTER(market_overview[market_stale_flag],market_overview[category]="US Equity"),40),_xlpm.q,INDEX(_xlfn._xlws.FILTER(market_overview[quote_stale_flag],market_overview[category]="US Equity"),40),_xlpm.op,INDEX(_xlfn._xlws.FILTER(market_overview[market_expected_open],market_overview[category]="US Equity"),40),IF(_xlpm.op="NO","MARKET_CLOSED",IF(OR(_xlpm.mkt="STALE",_xlpm.q="STALE"),"STALE","OK"))))</f>
        <v/>
      </c>
      <c r="L45" s="3" t="str" cm="1">
        <f t="array" ref="L45">IFERROR(INDEX(_xlfn._xlws.FILTER(market_overview[market_outlier_flag],market_overview[category]="US Equity"),40),"")</f>
        <v/>
      </c>
      <c r="M45" s="3" t="str" cm="1">
        <f t="array" ref="M45">IFERROR(INDEX(_xlfn._xlws.FILTER(market_overview[crossed_flag],market_overview[category]="US Equity"),40),"")</f>
        <v/>
      </c>
      <c r="N45" s="3" t="str" cm="1">
        <f t="array" ref="N45">IFERROR(INDEX(_xlfn._xlws.FILTER(market_overview[locked_flag],market_overview[category]="US Equity"),40),"")</f>
        <v/>
      </c>
    </row>
    <row r="46" spans="1:14" x14ac:dyDescent="0.2">
      <c r="A46" s="3" t="str" cm="1">
        <f t="array" ref="A46">IFERROR(INDEX(_xlfn._xlws.FILTER(market_overview[symbol],market_overview[category]="US Equity"),41),"")</f>
        <v/>
      </c>
      <c r="B46" s="3" t="str" cm="1">
        <f t="array" ref="B46">IFERROR(INDEX(_xlfn._xlws.FILTER(market_overview[name],market_overview[category]="US Equity"),41),"")</f>
        <v/>
      </c>
      <c r="C46" s="8" t="str" cm="1">
        <f t="array" ref="C46">IFERROR(INDEX(_xlfn._xlws.FILTER(market_overview[price],market_overview[category]="US Equity"),41),"")</f>
        <v/>
      </c>
      <c r="D46" s="9" t="str" cm="1">
        <f t="array" ref="D46">IFERROR(INDEX(_xlfn._xlws.FILTER(market_overview[move_bps],market_overview[category]="US Equity"),41),"")</f>
        <v/>
      </c>
      <c r="E46" s="8" t="str" cm="1">
        <f t="array" ref="E46">_xlfn.LET(_xlpm.v,IFERROR(INDEX(_xlfn._xlws.FILTER(market_overview[bid],market_overview[category]="US Equity"),ROW()-5),""),IF(OR(_xlpm.v="",_xlpm.v=0),"",_xlpm.v))</f>
        <v/>
      </c>
      <c r="F46" s="8" t="str" cm="1">
        <f t="array" ref="F46">_xlfn.LET(_xlpm.v,IFERROR(INDEX(_xlfn._xlws.FILTER(market_overview[ask],market_overview[category]="US Equity"),ROW()-5),""),IF(OR(_xlpm.v="",_xlpm.v=0),"",_xlpm.v))</f>
        <v/>
      </c>
      <c r="G46" s="8" t="str" cm="1">
        <f t="array" ref="G46">_xlfn.LET(_xlpm.v,IFERROR(INDEX(_xlfn._xlws.FILTER(market_overview[mid],market_overview[category]="US Equity"),ROW()-5),""),IF(OR(_xlpm.v="",_xlpm.v=0),"",_xlpm.v))</f>
        <v/>
      </c>
      <c r="H46" s="59" t="str" cm="1">
        <f t="array" ref="H46">_xlfn.LET(_xlpm.v,IFERROR(INDEX(_xlfn._xlws.FILTER(market_overview[spread_bps],market_overview[category]="US Equity"),ROW()-5),""),IF(OR(_xlpm.v="",_xlpm.v=0),"",_xlpm.v))</f>
        <v/>
      </c>
      <c r="I46" s="46" t="str" cm="1">
        <f t="array" ref="I46">IFERROR(INDEX(_xlfn._xlws.FILTER(market_overview[quote_age_seconds],market_overview[category]="US Equity"),41),"")</f>
        <v/>
      </c>
      <c r="J46" s="3" t="str" cm="1">
        <f t="array" ref="J46">IF(A46="","",IF(INDEX(_xlfn._xlws.FILTER(market_overview[market_expected_open],market_overview[category]="US Equity"),41)="YES","OPEN","CLOSED"))</f>
        <v/>
      </c>
      <c r="K46" s="3" t="str" cm="1">
        <f t="array" ref="K46">IF(A46="","",_xlfn.LET(_xlpm.mkt,INDEX(_xlfn._xlws.FILTER(market_overview[market_stale_flag],market_overview[category]="US Equity"),41),_xlpm.q,INDEX(_xlfn._xlws.FILTER(market_overview[quote_stale_flag],market_overview[category]="US Equity"),41),_xlpm.op,INDEX(_xlfn._xlws.FILTER(market_overview[market_expected_open],market_overview[category]="US Equity"),41),IF(_xlpm.op="NO","MARKET_CLOSED",IF(OR(_xlpm.mkt="STALE",_xlpm.q="STALE"),"STALE","OK"))))</f>
        <v/>
      </c>
      <c r="L46" s="3" t="str" cm="1">
        <f t="array" ref="L46">IFERROR(INDEX(_xlfn._xlws.FILTER(market_overview[market_outlier_flag],market_overview[category]="US Equity"),41),"")</f>
        <v/>
      </c>
      <c r="M46" s="3" t="str" cm="1">
        <f t="array" ref="M46">IFERROR(INDEX(_xlfn._xlws.FILTER(market_overview[crossed_flag],market_overview[category]="US Equity"),41),"")</f>
        <v/>
      </c>
      <c r="N46" s="3" t="str" cm="1">
        <f t="array" ref="N46">IFERROR(INDEX(_xlfn._xlws.FILTER(market_overview[locked_flag],market_overview[category]="US Equity"),41),"")</f>
        <v/>
      </c>
    </row>
    <row r="47" spans="1:14" x14ac:dyDescent="0.2">
      <c r="A47" s="3" t="str" cm="1">
        <f t="array" ref="A47">IFERROR(INDEX(_xlfn._xlws.FILTER(market_overview[symbol],market_overview[category]="US Equity"),42),"")</f>
        <v/>
      </c>
      <c r="B47" s="3" t="str" cm="1">
        <f t="array" ref="B47">IFERROR(INDEX(_xlfn._xlws.FILTER(market_overview[name],market_overview[category]="US Equity"),42),"")</f>
        <v/>
      </c>
      <c r="C47" s="8" t="str" cm="1">
        <f t="array" ref="C47">IFERROR(INDEX(_xlfn._xlws.FILTER(market_overview[price],market_overview[category]="US Equity"),42),"")</f>
        <v/>
      </c>
      <c r="D47" s="9" t="str" cm="1">
        <f t="array" ref="D47">IFERROR(INDEX(_xlfn._xlws.FILTER(market_overview[move_bps],market_overview[category]="US Equity"),42),"")</f>
        <v/>
      </c>
      <c r="E47" s="8" t="str" cm="1">
        <f t="array" ref="E47">_xlfn.LET(_xlpm.v,IFERROR(INDEX(_xlfn._xlws.FILTER(market_overview[bid],market_overview[category]="US Equity"),ROW()-5),""),IF(OR(_xlpm.v="",_xlpm.v=0),"",_xlpm.v))</f>
        <v/>
      </c>
      <c r="F47" s="8" t="str" cm="1">
        <f t="array" ref="F47">_xlfn.LET(_xlpm.v,IFERROR(INDEX(_xlfn._xlws.FILTER(market_overview[ask],market_overview[category]="US Equity"),ROW()-5),""),IF(OR(_xlpm.v="",_xlpm.v=0),"",_xlpm.v))</f>
        <v/>
      </c>
      <c r="G47" s="8" t="str" cm="1">
        <f t="array" ref="G47">_xlfn.LET(_xlpm.v,IFERROR(INDEX(_xlfn._xlws.FILTER(market_overview[mid],market_overview[category]="US Equity"),ROW()-5),""),IF(OR(_xlpm.v="",_xlpm.v=0),"",_xlpm.v))</f>
        <v/>
      </c>
      <c r="H47" s="59" t="str" cm="1">
        <f t="array" ref="H47">_xlfn.LET(_xlpm.v,IFERROR(INDEX(_xlfn._xlws.FILTER(market_overview[spread_bps],market_overview[category]="US Equity"),ROW()-5),""),IF(OR(_xlpm.v="",_xlpm.v=0),"",_xlpm.v))</f>
        <v/>
      </c>
      <c r="I47" s="46" t="str" cm="1">
        <f t="array" ref="I47">IFERROR(INDEX(_xlfn._xlws.FILTER(market_overview[quote_age_seconds],market_overview[category]="US Equity"),42),"")</f>
        <v/>
      </c>
      <c r="J47" s="3" t="str" cm="1">
        <f t="array" ref="J47">IF(A47="","",IF(INDEX(_xlfn._xlws.FILTER(market_overview[market_expected_open],market_overview[category]="US Equity"),42)="YES","OPEN","CLOSED"))</f>
        <v/>
      </c>
      <c r="K47" s="3" t="str" cm="1">
        <f t="array" ref="K47">IF(A47="","",_xlfn.LET(_xlpm.mkt,INDEX(_xlfn._xlws.FILTER(market_overview[market_stale_flag],market_overview[category]="US Equity"),42),_xlpm.q,INDEX(_xlfn._xlws.FILTER(market_overview[quote_stale_flag],market_overview[category]="US Equity"),42),_xlpm.op,INDEX(_xlfn._xlws.FILTER(market_overview[market_expected_open],market_overview[category]="US Equity"),42),IF(_xlpm.op="NO","MARKET_CLOSED",IF(OR(_xlpm.mkt="STALE",_xlpm.q="STALE"),"STALE","OK"))))</f>
        <v/>
      </c>
      <c r="L47" s="3" t="str" cm="1">
        <f t="array" ref="L47">IFERROR(INDEX(_xlfn._xlws.FILTER(market_overview[market_outlier_flag],market_overview[category]="US Equity"),42),"")</f>
        <v/>
      </c>
      <c r="M47" s="3" t="str" cm="1">
        <f t="array" ref="M47">IFERROR(INDEX(_xlfn._xlws.FILTER(market_overview[crossed_flag],market_overview[category]="US Equity"),42),"")</f>
        <v/>
      </c>
      <c r="N47" s="3" t="str" cm="1">
        <f t="array" ref="N47">IFERROR(INDEX(_xlfn._xlws.FILTER(market_overview[locked_flag],market_overview[category]="US Equity"),42),"")</f>
        <v/>
      </c>
    </row>
    <row r="48" spans="1:14" x14ac:dyDescent="0.2">
      <c r="A48" s="3" t="str" cm="1">
        <f t="array" ref="A48">IFERROR(INDEX(_xlfn._xlws.FILTER(market_overview[symbol],market_overview[category]="US Equity"),43),"")</f>
        <v/>
      </c>
      <c r="B48" s="3" t="str" cm="1">
        <f t="array" ref="B48">IFERROR(INDEX(_xlfn._xlws.FILTER(market_overview[name],market_overview[category]="US Equity"),43),"")</f>
        <v/>
      </c>
      <c r="C48" s="8" t="str" cm="1">
        <f t="array" ref="C48">IFERROR(INDEX(_xlfn._xlws.FILTER(market_overview[price],market_overview[category]="US Equity"),43),"")</f>
        <v/>
      </c>
      <c r="D48" s="9" t="str" cm="1">
        <f t="array" ref="D48">IFERROR(INDEX(_xlfn._xlws.FILTER(market_overview[move_bps],market_overview[category]="US Equity"),43),"")</f>
        <v/>
      </c>
      <c r="E48" s="8" t="str" cm="1">
        <f t="array" ref="E48">_xlfn.LET(_xlpm.v,IFERROR(INDEX(_xlfn._xlws.FILTER(market_overview[bid],market_overview[category]="US Equity"),ROW()-5),""),IF(OR(_xlpm.v="",_xlpm.v=0),"",_xlpm.v))</f>
        <v/>
      </c>
      <c r="F48" s="8" t="str" cm="1">
        <f t="array" ref="F48">_xlfn.LET(_xlpm.v,IFERROR(INDEX(_xlfn._xlws.FILTER(market_overview[ask],market_overview[category]="US Equity"),ROW()-5),""),IF(OR(_xlpm.v="",_xlpm.v=0),"",_xlpm.v))</f>
        <v/>
      </c>
      <c r="G48" s="8" t="str" cm="1">
        <f t="array" ref="G48">_xlfn.LET(_xlpm.v,IFERROR(INDEX(_xlfn._xlws.FILTER(market_overview[mid],market_overview[category]="US Equity"),ROW()-5),""),IF(OR(_xlpm.v="",_xlpm.v=0),"",_xlpm.v))</f>
        <v/>
      </c>
      <c r="H48" s="59" t="str" cm="1">
        <f t="array" ref="H48">_xlfn.LET(_xlpm.v,IFERROR(INDEX(_xlfn._xlws.FILTER(market_overview[spread_bps],market_overview[category]="US Equity"),ROW()-5),""),IF(OR(_xlpm.v="",_xlpm.v=0),"",_xlpm.v))</f>
        <v/>
      </c>
      <c r="I48" s="46" t="str" cm="1">
        <f t="array" ref="I48">IFERROR(INDEX(_xlfn._xlws.FILTER(market_overview[quote_age_seconds],market_overview[category]="US Equity"),43),"")</f>
        <v/>
      </c>
      <c r="J48" s="3" t="str" cm="1">
        <f t="array" ref="J48">IF(A48="","",IF(INDEX(_xlfn._xlws.FILTER(market_overview[market_expected_open],market_overview[category]="US Equity"),43)="YES","OPEN","CLOSED"))</f>
        <v/>
      </c>
      <c r="K48" s="3" t="str" cm="1">
        <f t="array" ref="K48">IF(A48="","",_xlfn.LET(_xlpm.mkt,INDEX(_xlfn._xlws.FILTER(market_overview[market_stale_flag],market_overview[category]="US Equity"),43),_xlpm.q,INDEX(_xlfn._xlws.FILTER(market_overview[quote_stale_flag],market_overview[category]="US Equity"),43),_xlpm.op,INDEX(_xlfn._xlws.FILTER(market_overview[market_expected_open],market_overview[category]="US Equity"),43),IF(_xlpm.op="NO","MARKET_CLOSED",IF(OR(_xlpm.mkt="STALE",_xlpm.q="STALE"),"STALE","OK"))))</f>
        <v/>
      </c>
      <c r="L48" s="3" t="str" cm="1">
        <f t="array" ref="L48">IFERROR(INDEX(_xlfn._xlws.FILTER(market_overview[market_outlier_flag],market_overview[category]="US Equity"),43),"")</f>
        <v/>
      </c>
      <c r="M48" s="3" t="str" cm="1">
        <f t="array" ref="M48">IFERROR(INDEX(_xlfn._xlws.FILTER(market_overview[crossed_flag],market_overview[category]="US Equity"),43),"")</f>
        <v/>
      </c>
      <c r="N48" s="3" t="str" cm="1">
        <f t="array" ref="N48">IFERROR(INDEX(_xlfn._xlws.FILTER(market_overview[locked_flag],market_overview[category]="US Equity"),43),"")</f>
        <v/>
      </c>
    </row>
    <row r="49" spans="1:14" x14ac:dyDescent="0.2">
      <c r="A49" s="3" t="str" cm="1">
        <f t="array" ref="A49">IFERROR(INDEX(_xlfn._xlws.FILTER(market_overview[symbol],market_overview[category]="US Equity"),44),"")</f>
        <v/>
      </c>
      <c r="B49" s="3" t="str" cm="1">
        <f t="array" ref="B49">IFERROR(INDEX(_xlfn._xlws.FILTER(market_overview[name],market_overview[category]="US Equity"),44),"")</f>
        <v/>
      </c>
      <c r="C49" s="8" t="str" cm="1">
        <f t="array" ref="C49">IFERROR(INDEX(_xlfn._xlws.FILTER(market_overview[price],market_overview[category]="US Equity"),44),"")</f>
        <v/>
      </c>
      <c r="D49" s="9" t="str" cm="1">
        <f t="array" ref="D49">IFERROR(INDEX(_xlfn._xlws.FILTER(market_overview[move_bps],market_overview[category]="US Equity"),44),"")</f>
        <v/>
      </c>
      <c r="E49" s="8" t="str" cm="1">
        <f t="array" ref="E49">_xlfn.LET(_xlpm.v,IFERROR(INDEX(_xlfn._xlws.FILTER(market_overview[bid],market_overview[category]="US Equity"),ROW()-5),""),IF(OR(_xlpm.v="",_xlpm.v=0),"",_xlpm.v))</f>
        <v/>
      </c>
      <c r="F49" s="8" t="str" cm="1">
        <f t="array" ref="F49">_xlfn.LET(_xlpm.v,IFERROR(INDEX(_xlfn._xlws.FILTER(market_overview[ask],market_overview[category]="US Equity"),ROW()-5),""),IF(OR(_xlpm.v="",_xlpm.v=0),"",_xlpm.v))</f>
        <v/>
      </c>
      <c r="G49" s="8" t="str" cm="1">
        <f t="array" ref="G49">_xlfn.LET(_xlpm.v,IFERROR(INDEX(_xlfn._xlws.FILTER(market_overview[mid],market_overview[category]="US Equity"),ROW()-5),""),IF(OR(_xlpm.v="",_xlpm.v=0),"",_xlpm.v))</f>
        <v/>
      </c>
      <c r="H49" s="59" t="str" cm="1">
        <f t="array" ref="H49">_xlfn.LET(_xlpm.v,IFERROR(INDEX(_xlfn._xlws.FILTER(market_overview[spread_bps],market_overview[category]="US Equity"),ROW()-5),""),IF(OR(_xlpm.v="",_xlpm.v=0),"",_xlpm.v))</f>
        <v/>
      </c>
      <c r="I49" s="46" t="str" cm="1">
        <f t="array" ref="I49">IFERROR(INDEX(_xlfn._xlws.FILTER(market_overview[quote_age_seconds],market_overview[category]="US Equity"),44),"")</f>
        <v/>
      </c>
      <c r="J49" s="3" t="str" cm="1">
        <f t="array" ref="J49">IF(A49="","",IF(INDEX(_xlfn._xlws.FILTER(market_overview[market_expected_open],market_overview[category]="US Equity"),44)="YES","OPEN","CLOSED"))</f>
        <v/>
      </c>
      <c r="K49" s="3" t="str" cm="1">
        <f t="array" ref="K49">IF(A49="","",_xlfn.LET(_xlpm.mkt,INDEX(_xlfn._xlws.FILTER(market_overview[market_stale_flag],market_overview[category]="US Equity"),44),_xlpm.q,INDEX(_xlfn._xlws.FILTER(market_overview[quote_stale_flag],market_overview[category]="US Equity"),44),_xlpm.op,INDEX(_xlfn._xlws.FILTER(market_overview[market_expected_open],market_overview[category]="US Equity"),44),IF(_xlpm.op="NO","MARKET_CLOSED",IF(OR(_xlpm.mkt="STALE",_xlpm.q="STALE"),"STALE","OK"))))</f>
        <v/>
      </c>
      <c r="L49" s="3" t="str" cm="1">
        <f t="array" ref="L49">IFERROR(INDEX(_xlfn._xlws.FILTER(market_overview[market_outlier_flag],market_overview[category]="US Equity"),44),"")</f>
        <v/>
      </c>
      <c r="M49" s="3" t="str" cm="1">
        <f t="array" ref="M49">IFERROR(INDEX(_xlfn._xlws.FILTER(market_overview[crossed_flag],market_overview[category]="US Equity"),44),"")</f>
        <v/>
      </c>
      <c r="N49" s="3" t="str" cm="1">
        <f t="array" ref="N49">IFERROR(INDEX(_xlfn._xlws.FILTER(market_overview[locked_flag],market_overview[category]="US Equity"),44),"")</f>
        <v/>
      </c>
    </row>
    <row r="50" spans="1:14" x14ac:dyDescent="0.2">
      <c r="A50" s="3" t="str" cm="1">
        <f t="array" ref="A50">IFERROR(INDEX(_xlfn._xlws.FILTER(market_overview[symbol],market_overview[category]="US Equity"),45),"")</f>
        <v/>
      </c>
      <c r="B50" s="3" t="str" cm="1">
        <f t="array" ref="B50">IFERROR(INDEX(_xlfn._xlws.FILTER(market_overview[name],market_overview[category]="US Equity"),45),"")</f>
        <v/>
      </c>
      <c r="C50" s="8" t="str" cm="1">
        <f t="array" ref="C50">IFERROR(INDEX(_xlfn._xlws.FILTER(market_overview[price],market_overview[category]="US Equity"),45),"")</f>
        <v/>
      </c>
      <c r="D50" s="9" t="str" cm="1">
        <f t="array" ref="D50">IFERROR(INDEX(_xlfn._xlws.FILTER(market_overview[move_bps],market_overview[category]="US Equity"),45),"")</f>
        <v/>
      </c>
      <c r="E50" s="8" t="str" cm="1">
        <f t="array" ref="E50">_xlfn.LET(_xlpm.v,IFERROR(INDEX(_xlfn._xlws.FILTER(market_overview[bid],market_overview[category]="US Equity"),ROW()-5),""),IF(OR(_xlpm.v="",_xlpm.v=0),"",_xlpm.v))</f>
        <v/>
      </c>
      <c r="F50" s="8" t="str" cm="1">
        <f t="array" ref="F50">_xlfn.LET(_xlpm.v,IFERROR(INDEX(_xlfn._xlws.FILTER(market_overview[ask],market_overview[category]="US Equity"),ROW()-5),""),IF(OR(_xlpm.v="",_xlpm.v=0),"",_xlpm.v))</f>
        <v/>
      </c>
      <c r="G50" s="8" t="str" cm="1">
        <f t="array" ref="G50">_xlfn.LET(_xlpm.v,IFERROR(INDEX(_xlfn._xlws.FILTER(market_overview[mid],market_overview[category]="US Equity"),ROW()-5),""),IF(OR(_xlpm.v="",_xlpm.v=0),"",_xlpm.v))</f>
        <v/>
      </c>
      <c r="H50" s="59" t="str" cm="1">
        <f t="array" ref="H50">_xlfn.LET(_xlpm.v,IFERROR(INDEX(_xlfn._xlws.FILTER(market_overview[spread_bps],market_overview[category]="US Equity"),ROW()-5),""),IF(OR(_xlpm.v="",_xlpm.v=0),"",_xlpm.v))</f>
        <v/>
      </c>
      <c r="I50" s="46" t="str" cm="1">
        <f t="array" ref="I50">IFERROR(INDEX(_xlfn._xlws.FILTER(market_overview[quote_age_seconds],market_overview[category]="US Equity"),45),"")</f>
        <v/>
      </c>
      <c r="J50" s="3" t="str" cm="1">
        <f t="array" ref="J50">IF(A50="","",IF(INDEX(_xlfn._xlws.FILTER(market_overview[market_expected_open],market_overview[category]="US Equity"),45)="YES","OPEN","CLOSED"))</f>
        <v/>
      </c>
      <c r="K50" s="3" t="str" cm="1">
        <f t="array" ref="K50">IF(A50="","",_xlfn.LET(_xlpm.mkt,INDEX(_xlfn._xlws.FILTER(market_overview[market_stale_flag],market_overview[category]="US Equity"),45),_xlpm.q,INDEX(_xlfn._xlws.FILTER(market_overview[quote_stale_flag],market_overview[category]="US Equity"),45),_xlpm.op,INDEX(_xlfn._xlws.FILTER(market_overview[market_expected_open],market_overview[category]="US Equity"),45),IF(_xlpm.op="NO","MARKET_CLOSED",IF(OR(_xlpm.mkt="STALE",_xlpm.q="STALE"),"STALE","OK"))))</f>
        <v/>
      </c>
      <c r="L50" s="3" t="str" cm="1">
        <f t="array" ref="L50">IFERROR(INDEX(_xlfn._xlws.FILTER(market_overview[market_outlier_flag],market_overview[category]="US Equity"),45),"")</f>
        <v/>
      </c>
      <c r="M50" s="3" t="str" cm="1">
        <f t="array" ref="M50">IFERROR(INDEX(_xlfn._xlws.FILTER(market_overview[crossed_flag],market_overview[category]="US Equity"),45),"")</f>
        <v/>
      </c>
      <c r="N50" s="3" t="str" cm="1">
        <f t="array" ref="N50">IFERROR(INDEX(_xlfn._xlws.FILTER(market_overview[locked_flag],market_overview[category]="US Equity"),45),"")</f>
        <v/>
      </c>
    </row>
    <row r="51" spans="1:14" x14ac:dyDescent="0.2">
      <c r="A51" s="3" t="str" cm="1">
        <f t="array" ref="A51">IFERROR(INDEX(_xlfn._xlws.FILTER(market_overview[symbol],market_overview[category]="US Equity"),46),"")</f>
        <v/>
      </c>
      <c r="B51" s="3" t="str" cm="1">
        <f t="array" ref="B51">IFERROR(INDEX(_xlfn._xlws.FILTER(market_overview[name],market_overview[category]="US Equity"),46),"")</f>
        <v/>
      </c>
      <c r="C51" s="8" t="str" cm="1">
        <f t="array" ref="C51">IFERROR(INDEX(_xlfn._xlws.FILTER(market_overview[price],market_overview[category]="US Equity"),46),"")</f>
        <v/>
      </c>
      <c r="D51" s="9" t="str" cm="1">
        <f t="array" ref="D51">IFERROR(INDEX(_xlfn._xlws.FILTER(market_overview[move_bps],market_overview[category]="US Equity"),46),"")</f>
        <v/>
      </c>
      <c r="E51" s="8" t="str" cm="1">
        <f t="array" ref="E51">_xlfn.LET(_xlpm.v,IFERROR(INDEX(_xlfn._xlws.FILTER(market_overview[bid],market_overview[category]="US Equity"),ROW()-5),""),IF(OR(_xlpm.v="",_xlpm.v=0),"",_xlpm.v))</f>
        <v/>
      </c>
      <c r="F51" s="8" t="str" cm="1">
        <f t="array" ref="F51">_xlfn.LET(_xlpm.v,IFERROR(INDEX(_xlfn._xlws.FILTER(market_overview[ask],market_overview[category]="US Equity"),ROW()-5),""),IF(OR(_xlpm.v="",_xlpm.v=0),"",_xlpm.v))</f>
        <v/>
      </c>
      <c r="G51" s="8" t="str" cm="1">
        <f t="array" ref="G51">_xlfn.LET(_xlpm.v,IFERROR(INDEX(_xlfn._xlws.FILTER(market_overview[mid],market_overview[category]="US Equity"),ROW()-5),""),IF(OR(_xlpm.v="",_xlpm.v=0),"",_xlpm.v))</f>
        <v/>
      </c>
      <c r="H51" s="59" t="str" cm="1">
        <f t="array" ref="H51">_xlfn.LET(_xlpm.v,IFERROR(INDEX(_xlfn._xlws.FILTER(market_overview[spread_bps],market_overview[category]="US Equity"),ROW()-5),""),IF(OR(_xlpm.v="",_xlpm.v=0),"",_xlpm.v))</f>
        <v/>
      </c>
      <c r="I51" s="46" t="str" cm="1">
        <f t="array" ref="I51">IFERROR(INDEX(_xlfn._xlws.FILTER(market_overview[quote_age_seconds],market_overview[category]="US Equity"),46),"")</f>
        <v/>
      </c>
      <c r="J51" s="3" t="str" cm="1">
        <f t="array" ref="J51">IF(A51="","",IF(INDEX(_xlfn._xlws.FILTER(market_overview[market_expected_open],market_overview[category]="US Equity"),46)="YES","OPEN","CLOSED"))</f>
        <v/>
      </c>
      <c r="K51" s="3" t="str" cm="1">
        <f t="array" ref="K51">IF(A51="","",_xlfn.LET(_xlpm.mkt,INDEX(_xlfn._xlws.FILTER(market_overview[market_stale_flag],market_overview[category]="US Equity"),46),_xlpm.q,INDEX(_xlfn._xlws.FILTER(market_overview[quote_stale_flag],market_overview[category]="US Equity"),46),_xlpm.op,INDEX(_xlfn._xlws.FILTER(market_overview[market_expected_open],market_overview[category]="US Equity"),46),IF(_xlpm.op="NO","MARKET_CLOSED",IF(OR(_xlpm.mkt="STALE",_xlpm.q="STALE"),"STALE","OK"))))</f>
        <v/>
      </c>
      <c r="L51" s="3" t="str" cm="1">
        <f t="array" ref="L51">IFERROR(INDEX(_xlfn._xlws.FILTER(market_overview[market_outlier_flag],market_overview[category]="US Equity"),46),"")</f>
        <v/>
      </c>
      <c r="M51" s="3" t="str" cm="1">
        <f t="array" ref="M51">IFERROR(INDEX(_xlfn._xlws.FILTER(market_overview[crossed_flag],market_overview[category]="US Equity"),46),"")</f>
        <v/>
      </c>
      <c r="N51" s="3" t="str" cm="1">
        <f t="array" ref="N51">IFERROR(INDEX(_xlfn._xlws.FILTER(market_overview[locked_flag],market_overview[category]="US Equity"),46),"")</f>
        <v/>
      </c>
    </row>
    <row r="52" spans="1:14" x14ac:dyDescent="0.2">
      <c r="A52" s="3" t="str" cm="1">
        <f t="array" ref="A52">IFERROR(INDEX(_xlfn._xlws.FILTER(market_overview[symbol],market_overview[category]="US Equity"),47),"")</f>
        <v/>
      </c>
      <c r="B52" s="3" t="str" cm="1">
        <f t="array" ref="B52">IFERROR(INDEX(_xlfn._xlws.FILTER(market_overview[name],market_overview[category]="US Equity"),47),"")</f>
        <v/>
      </c>
      <c r="C52" s="8" t="str" cm="1">
        <f t="array" ref="C52">IFERROR(INDEX(_xlfn._xlws.FILTER(market_overview[price],market_overview[category]="US Equity"),47),"")</f>
        <v/>
      </c>
      <c r="D52" s="9" t="str" cm="1">
        <f t="array" ref="D52">IFERROR(INDEX(_xlfn._xlws.FILTER(market_overview[move_bps],market_overview[category]="US Equity"),47),"")</f>
        <v/>
      </c>
      <c r="E52" s="8" t="str" cm="1">
        <f t="array" ref="E52">_xlfn.LET(_xlpm.v,IFERROR(INDEX(_xlfn._xlws.FILTER(market_overview[bid],market_overview[category]="US Equity"),ROW()-5),""),IF(OR(_xlpm.v="",_xlpm.v=0),"",_xlpm.v))</f>
        <v/>
      </c>
      <c r="F52" s="8" t="str" cm="1">
        <f t="array" ref="F52">_xlfn.LET(_xlpm.v,IFERROR(INDEX(_xlfn._xlws.FILTER(market_overview[ask],market_overview[category]="US Equity"),ROW()-5),""),IF(OR(_xlpm.v="",_xlpm.v=0),"",_xlpm.v))</f>
        <v/>
      </c>
      <c r="G52" s="8" t="str" cm="1">
        <f t="array" ref="G52">_xlfn.LET(_xlpm.v,IFERROR(INDEX(_xlfn._xlws.FILTER(market_overview[mid],market_overview[category]="US Equity"),ROW()-5),""),IF(OR(_xlpm.v="",_xlpm.v=0),"",_xlpm.v))</f>
        <v/>
      </c>
      <c r="H52" s="59" t="str" cm="1">
        <f t="array" ref="H52">_xlfn.LET(_xlpm.v,IFERROR(INDEX(_xlfn._xlws.FILTER(market_overview[spread_bps],market_overview[category]="US Equity"),ROW()-5),""),IF(OR(_xlpm.v="",_xlpm.v=0),"",_xlpm.v))</f>
        <v/>
      </c>
      <c r="I52" s="46" t="str" cm="1">
        <f t="array" ref="I52">IFERROR(INDEX(_xlfn._xlws.FILTER(market_overview[quote_age_seconds],market_overview[category]="US Equity"),47),"")</f>
        <v/>
      </c>
      <c r="J52" s="3" t="str" cm="1">
        <f t="array" ref="J52">IF(A52="","",IF(INDEX(_xlfn._xlws.FILTER(market_overview[market_expected_open],market_overview[category]="US Equity"),47)="YES","OPEN","CLOSED"))</f>
        <v/>
      </c>
      <c r="K52" s="3" t="str" cm="1">
        <f t="array" ref="K52">IF(A52="","",_xlfn.LET(_xlpm.mkt,INDEX(_xlfn._xlws.FILTER(market_overview[market_stale_flag],market_overview[category]="US Equity"),47),_xlpm.q,INDEX(_xlfn._xlws.FILTER(market_overview[quote_stale_flag],market_overview[category]="US Equity"),47),_xlpm.op,INDEX(_xlfn._xlws.FILTER(market_overview[market_expected_open],market_overview[category]="US Equity"),47),IF(_xlpm.op="NO","MARKET_CLOSED",IF(OR(_xlpm.mkt="STALE",_xlpm.q="STALE"),"STALE","OK"))))</f>
        <v/>
      </c>
      <c r="L52" s="3" t="str" cm="1">
        <f t="array" ref="L52">IFERROR(INDEX(_xlfn._xlws.FILTER(market_overview[market_outlier_flag],market_overview[category]="US Equity"),47),"")</f>
        <v/>
      </c>
      <c r="M52" s="3" t="str" cm="1">
        <f t="array" ref="M52">IFERROR(INDEX(_xlfn._xlws.FILTER(market_overview[crossed_flag],market_overview[category]="US Equity"),47),"")</f>
        <v/>
      </c>
      <c r="N52" s="3" t="str" cm="1">
        <f t="array" ref="N52">IFERROR(INDEX(_xlfn._xlws.FILTER(market_overview[locked_flag],market_overview[category]="US Equity"),47),"")</f>
        <v/>
      </c>
    </row>
    <row r="53" spans="1:14" x14ac:dyDescent="0.2">
      <c r="A53" s="3" t="str" cm="1">
        <f t="array" ref="A53">IFERROR(INDEX(_xlfn._xlws.FILTER(market_overview[symbol],market_overview[category]="US Equity"),48),"")</f>
        <v/>
      </c>
      <c r="B53" s="3" t="str" cm="1">
        <f t="array" ref="B53">IFERROR(INDEX(_xlfn._xlws.FILTER(market_overview[name],market_overview[category]="US Equity"),48),"")</f>
        <v/>
      </c>
      <c r="C53" s="8" t="str" cm="1">
        <f t="array" ref="C53">IFERROR(INDEX(_xlfn._xlws.FILTER(market_overview[price],market_overview[category]="US Equity"),48),"")</f>
        <v/>
      </c>
      <c r="D53" s="9" t="str" cm="1">
        <f t="array" ref="D53">IFERROR(INDEX(_xlfn._xlws.FILTER(market_overview[move_bps],market_overview[category]="US Equity"),48),"")</f>
        <v/>
      </c>
      <c r="E53" s="8" t="str" cm="1">
        <f t="array" ref="E53">_xlfn.LET(_xlpm.v,IFERROR(INDEX(_xlfn._xlws.FILTER(market_overview[bid],market_overview[category]="US Equity"),ROW()-5),""),IF(OR(_xlpm.v="",_xlpm.v=0),"",_xlpm.v))</f>
        <v/>
      </c>
      <c r="F53" s="8" t="str" cm="1">
        <f t="array" ref="F53">_xlfn.LET(_xlpm.v,IFERROR(INDEX(_xlfn._xlws.FILTER(market_overview[ask],market_overview[category]="US Equity"),ROW()-5),""),IF(OR(_xlpm.v="",_xlpm.v=0),"",_xlpm.v))</f>
        <v/>
      </c>
      <c r="G53" s="8" t="str" cm="1">
        <f t="array" ref="G53">_xlfn.LET(_xlpm.v,IFERROR(INDEX(_xlfn._xlws.FILTER(market_overview[mid],market_overview[category]="US Equity"),ROW()-5),""),IF(OR(_xlpm.v="",_xlpm.v=0),"",_xlpm.v))</f>
        <v/>
      </c>
      <c r="H53" s="59" t="str" cm="1">
        <f t="array" ref="H53">_xlfn.LET(_xlpm.v,IFERROR(INDEX(_xlfn._xlws.FILTER(market_overview[spread_bps],market_overview[category]="US Equity"),ROW()-5),""),IF(OR(_xlpm.v="",_xlpm.v=0),"",_xlpm.v))</f>
        <v/>
      </c>
      <c r="I53" s="46" t="str" cm="1">
        <f t="array" ref="I53">IFERROR(INDEX(_xlfn._xlws.FILTER(market_overview[quote_age_seconds],market_overview[category]="US Equity"),48),"")</f>
        <v/>
      </c>
      <c r="J53" s="3" t="str" cm="1">
        <f t="array" ref="J53">IF(A53="","",IF(INDEX(_xlfn._xlws.FILTER(market_overview[market_expected_open],market_overview[category]="US Equity"),48)="YES","OPEN","CLOSED"))</f>
        <v/>
      </c>
      <c r="K53" s="3" t="str" cm="1">
        <f t="array" ref="K53">IF(A53="","",_xlfn.LET(_xlpm.mkt,INDEX(_xlfn._xlws.FILTER(market_overview[market_stale_flag],market_overview[category]="US Equity"),48),_xlpm.q,INDEX(_xlfn._xlws.FILTER(market_overview[quote_stale_flag],market_overview[category]="US Equity"),48),_xlpm.op,INDEX(_xlfn._xlws.FILTER(market_overview[market_expected_open],market_overview[category]="US Equity"),48),IF(_xlpm.op="NO","MARKET_CLOSED",IF(OR(_xlpm.mkt="STALE",_xlpm.q="STALE"),"STALE","OK"))))</f>
        <v/>
      </c>
      <c r="L53" s="3" t="str" cm="1">
        <f t="array" ref="L53">IFERROR(INDEX(_xlfn._xlws.FILTER(market_overview[market_outlier_flag],market_overview[category]="US Equity"),48),"")</f>
        <v/>
      </c>
      <c r="M53" s="3" t="str" cm="1">
        <f t="array" ref="M53">IFERROR(INDEX(_xlfn._xlws.FILTER(market_overview[crossed_flag],market_overview[category]="US Equity"),48),"")</f>
        <v/>
      </c>
      <c r="N53" s="3" t="str" cm="1">
        <f t="array" ref="N53">IFERROR(INDEX(_xlfn._xlws.FILTER(market_overview[locked_flag],market_overview[category]="US Equity"),48),"")</f>
        <v/>
      </c>
    </row>
    <row r="54" spans="1:14" x14ac:dyDescent="0.2">
      <c r="A54" s="3" t="str" cm="1">
        <f t="array" ref="A54">IFERROR(INDEX(_xlfn._xlws.FILTER(market_overview[symbol],market_overview[category]="US Equity"),49),"")</f>
        <v/>
      </c>
      <c r="B54" s="3" t="str" cm="1">
        <f t="array" ref="B54">IFERROR(INDEX(_xlfn._xlws.FILTER(market_overview[name],market_overview[category]="US Equity"),49),"")</f>
        <v/>
      </c>
      <c r="C54" s="8" t="str" cm="1">
        <f t="array" ref="C54">IFERROR(INDEX(_xlfn._xlws.FILTER(market_overview[price],market_overview[category]="US Equity"),49),"")</f>
        <v/>
      </c>
      <c r="D54" s="9" t="str" cm="1">
        <f t="array" ref="D54">IFERROR(INDEX(_xlfn._xlws.FILTER(market_overview[move_bps],market_overview[category]="US Equity"),49),"")</f>
        <v/>
      </c>
      <c r="E54" s="8" t="str" cm="1">
        <f t="array" ref="E54">_xlfn.LET(_xlpm.v,IFERROR(INDEX(_xlfn._xlws.FILTER(market_overview[bid],market_overview[category]="US Equity"),ROW()-5),""),IF(OR(_xlpm.v="",_xlpm.v=0),"",_xlpm.v))</f>
        <v/>
      </c>
      <c r="F54" s="8" t="str" cm="1">
        <f t="array" ref="F54">_xlfn.LET(_xlpm.v,IFERROR(INDEX(_xlfn._xlws.FILTER(market_overview[ask],market_overview[category]="US Equity"),ROW()-5),""),IF(OR(_xlpm.v="",_xlpm.v=0),"",_xlpm.v))</f>
        <v/>
      </c>
      <c r="G54" s="8" t="str" cm="1">
        <f t="array" ref="G54">_xlfn.LET(_xlpm.v,IFERROR(INDEX(_xlfn._xlws.FILTER(market_overview[mid],market_overview[category]="US Equity"),ROW()-5),""),IF(OR(_xlpm.v="",_xlpm.v=0),"",_xlpm.v))</f>
        <v/>
      </c>
      <c r="H54" s="59" t="str" cm="1">
        <f t="array" ref="H54">_xlfn.LET(_xlpm.v,IFERROR(INDEX(_xlfn._xlws.FILTER(market_overview[spread_bps],market_overview[category]="US Equity"),ROW()-5),""),IF(OR(_xlpm.v="",_xlpm.v=0),"",_xlpm.v))</f>
        <v/>
      </c>
      <c r="I54" s="46" t="str" cm="1">
        <f t="array" ref="I54">IFERROR(INDEX(_xlfn._xlws.FILTER(market_overview[quote_age_seconds],market_overview[category]="US Equity"),49),"")</f>
        <v/>
      </c>
      <c r="J54" s="3" t="str" cm="1">
        <f t="array" ref="J54">IF(A54="","",IF(INDEX(_xlfn._xlws.FILTER(market_overview[market_expected_open],market_overview[category]="US Equity"),49)="YES","OPEN","CLOSED"))</f>
        <v/>
      </c>
      <c r="K54" s="3" t="str" cm="1">
        <f t="array" ref="K54">IF(A54="","",_xlfn.LET(_xlpm.mkt,INDEX(_xlfn._xlws.FILTER(market_overview[market_stale_flag],market_overview[category]="US Equity"),49),_xlpm.q,INDEX(_xlfn._xlws.FILTER(market_overview[quote_stale_flag],market_overview[category]="US Equity"),49),_xlpm.op,INDEX(_xlfn._xlws.FILTER(market_overview[market_expected_open],market_overview[category]="US Equity"),49),IF(_xlpm.op="NO","MARKET_CLOSED",IF(OR(_xlpm.mkt="STALE",_xlpm.q="STALE"),"STALE","OK"))))</f>
        <v/>
      </c>
      <c r="L54" s="3" t="str" cm="1">
        <f t="array" ref="L54">IFERROR(INDEX(_xlfn._xlws.FILTER(market_overview[market_outlier_flag],market_overview[category]="US Equity"),49),"")</f>
        <v/>
      </c>
      <c r="M54" s="3" t="str" cm="1">
        <f t="array" ref="M54">IFERROR(INDEX(_xlfn._xlws.FILTER(market_overview[crossed_flag],market_overview[category]="US Equity"),49),"")</f>
        <v/>
      </c>
      <c r="N54" s="3" t="str" cm="1">
        <f t="array" ref="N54">IFERROR(INDEX(_xlfn._xlws.FILTER(market_overview[locked_flag],market_overview[category]="US Equity"),49),"")</f>
        <v/>
      </c>
    </row>
    <row r="55" spans="1:14" x14ac:dyDescent="0.2">
      <c r="A55" s="3" t="str" cm="1">
        <f t="array" ref="A55">IFERROR(INDEX(_xlfn._xlws.FILTER(market_overview[symbol],market_overview[category]="US Equity"),50),"")</f>
        <v/>
      </c>
      <c r="B55" s="3" t="str" cm="1">
        <f t="array" ref="B55">IFERROR(INDEX(_xlfn._xlws.FILTER(market_overview[name],market_overview[category]="US Equity"),50),"")</f>
        <v/>
      </c>
      <c r="C55" s="8" t="str" cm="1">
        <f t="array" ref="C55">IFERROR(INDEX(_xlfn._xlws.FILTER(market_overview[price],market_overview[category]="US Equity"),50),"")</f>
        <v/>
      </c>
      <c r="D55" s="9" t="str" cm="1">
        <f t="array" ref="D55">IFERROR(INDEX(_xlfn._xlws.FILTER(market_overview[move_bps],market_overview[category]="US Equity"),50),"")</f>
        <v/>
      </c>
      <c r="E55" s="8" t="str" cm="1">
        <f t="array" ref="E55">_xlfn.LET(_xlpm.v,IFERROR(INDEX(_xlfn._xlws.FILTER(market_overview[bid],market_overview[category]="US Equity"),ROW()-5),""),IF(OR(_xlpm.v="",_xlpm.v=0),"",_xlpm.v))</f>
        <v/>
      </c>
      <c r="F55" s="8" t="str" cm="1">
        <f t="array" ref="F55">_xlfn.LET(_xlpm.v,IFERROR(INDEX(_xlfn._xlws.FILTER(market_overview[ask],market_overview[category]="US Equity"),ROW()-5),""),IF(OR(_xlpm.v="",_xlpm.v=0),"",_xlpm.v))</f>
        <v/>
      </c>
      <c r="G55" s="8" t="str" cm="1">
        <f t="array" ref="G55">_xlfn.LET(_xlpm.v,IFERROR(INDEX(_xlfn._xlws.FILTER(market_overview[mid],market_overview[category]="US Equity"),ROW()-5),""),IF(OR(_xlpm.v="",_xlpm.v=0),"",_xlpm.v))</f>
        <v/>
      </c>
      <c r="H55" s="59" t="str" cm="1">
        <f t="array" ref="H55">_xlfn.LET(_xlpm.v,IFERROR(INDEX(_xlfn._xlws.FILTER(market_overview[spread_bps],market_overview[category]="US Equity"),ROW()-5),""),IF(OR(_xlpm.v="",_xlpm.v=0),"",_xlpm.v))</f>
        <v/>
      </c>
      <c r="I55" s="46" t="str" cm="1">
        <f t="array" ref="I55">IFERROR(INDEX(_xlfn._xlws.FILTER(market_overview[quote_age_seconds],market_overview[category]="US Equity"),50),"")</f>
        <v/>
      </c>
      <c r="J55" s="3" t="str" cm="1">
        <f t="array" ref="J55">IF(A55="","",IF(INDEX(_xlfn._xlws.FILTER(market_overview[market_expected_open],market_overview[category]="US Equity"),50)="YES","OPEN","CLOSED"))</f>
        <v/>
      </c>
      <c r="K55" s="3" t="str" cm="1">
        <f t="array" ref="K55">IF(A55="","",_xlfn.LET(_xlpm.mkt,INDEX(_xlfn._xlws.FILTER(market_overview[market_stale_flag],market_overview[category]="US Equity"),50),_xlpm.q,INDEX(_xlfn._xlws.FILTER(market_overview[quote_stale_flag],market_overview[category]="US Equity"),50),_xlpm.op,INDEX(_xlfn._xlws.FILTER(market_overview[market_expected_open],market_overview[category]="US Equity"),50),IF(_xlpm.op="NO","MARKET_CLOSED",IF(OR(_xlpm.mkt="STALE",_xlpm.q="STALE"),"STALE","OK"))))</f>
        <v/>
      </c>
      <c r="L55" s="3" t="str" cm="1">
        <f t="array" ref="L55">IFERROR(INDEX(_xlfn._xlws.FILTER(market_overview[market_outlier_flag],market_overview[category]="US Equity"),50),"")</f>
        <v/>
      </c>
      <c r="M55" s="3" t="str" cm="1">
        <f t="array" ref="M55">IFERROR(INDEX(_xlfn._xlws.FILTER(market_overview[crossed_flag],market_overview[category]="US Equity"),50),"")</f>
        <v/>
      </c>
      <c r="N55" s="3" t="str" cm="1">
        <f t="array" ref="N55">IFERROR(INDEX(_xlfn._xlws.FILTER(market_overview[locked_flag],market_overview[category]="US Equity"),50),"")</f>
        <v/>
      </c>
    </row>
    <row r="56" spans="1:14" x14ac:dyDescent="0.2">
      <c r="C56" s="8"/>
      <c r="D56" s="9"/>
      <c r="E56" s="8"/>
      <c r="F56" s="8"/>
      <c r="G56" s="8"/>
      <c r="H56" s="8"/>
    </row>
    <row r="57" spans="1:14" x14ac:dyDescent="0.2">
      <c r="C57" s="8"/>
      <c r="D57" s="9"/>
      <c r="E57" s="8"/>
      <c r="F57" s="8"/>
      <c r="G57" s="8"/>
      <c r="H57" s="8"/>
    </row>
    <row r="58" spans="1:14" x14ac:dyDescent="0.2">
      <c r="C58" s="8"/>
      <c r="D58" s="9"/>
      <c r="E58" s="8"/>
      <c r="F58" s="8"/>
      <c r="G58" s="8"/>
      <c r="H58" s="8"/>
    </row>
    <row r="59" spans="1:14" x14ac:dyDescent="0.2">
      <c r="C59" s="8"/>
      <c r="D59" s="9"/>
      <c r="E59" s="8"/>
      <c r="F59" s="8"/>
      <c r="G59" s="8"/>
      <c r="H59" s="8"/>
    </row>
    <row r="60" spans="1:14" x14ac:dyDescent="0.2">
      <c r="C60" s="8"/>
      <c r="D60" s="9"/>
      <c r="E60" s="8"/>
      <c r="F60" s="8"/>
      <c r="G60" s="8"/>
      <c r="H60" s="8"/>
    </row>
    <row r="61" spans="1:14" x14ac:dyDescent="0.2">
      <c r="C61" s="8"/>
      <c r="D61" s="9"/>
      <c r="E61" s="8"/>
      <c r="F61" s="8"/>
      <c r="G61" s="8"/>
      <c r="H61" s="8"/>
    </row>
    <row r="62" spans="1:14" x14ac:dyDescent="0.2">
      <c r="C62" s="8"/>
      <c r="D62" s="9"/>
      <c r="E62" s="8"/>
      <c r="F62" s="8"/>
      <c r="G62" s="8"/>
      <c r="H62" s="8"/>
    </row>
    <row r="63" spans="1:14" x14ac:dyDescent="0.2">
      <c r="C63" s="8"/>
      <c r="D63" s="9"/>
      <c r="E63" s="8"/>
      <c r="F63" s="8"/>
      <c r="G63" s="8"/>
      <c r="H63" s="8"/>
    </row>
    <row r="64" spans="1:14" x14ac:dyDescent="0.2">
      <c r="C64" s="8"/>
      <c r="D64" s="9"/>
      <c r="E64" s="8"/>
      <c r="F64" s="8"/>
      <c r="G64" s="8"/>
      <c r="H64" s="8"/>
    </row>
    <row r="65" spans="3:8" x14ac:dyDescent="0.2">
      <c r="C65" s="8"/>
      <c r="D65" s="9"/>
      <c r="E65" s="8"/>
      <c r="F65" s="8"/>
      <c r="G65" s="8"/>
      <c r="H65" s="8"/>
    </row>
    <row r="66" spans="3:8" x14ac:dyDescent="0.2">
      <c r="C66" s="8"/>
      <c r="D66" s="9"/>
      <c r="E66" s="8"/>
      <c r="F66" s="8"/>
      <c r="G66" s="8"/>
      <c r="H66" s="8"/>
    </row>
    <row r="67" spans="3:8" x14ac:dyDescent="0.2">
      <c r="C67" s="8"/>
      <c r="D67" s="9"/>
      <c r="E67" s="8"/>
      <c r="F67" s="8"/>
      <c r="G67" s="8"/>
      <c r="H67" s="8"/>
    </row>
    <row r="68" spans="3:8" x14ac:dyDescent="0.2">
      <c r="C68" s="8"/>
      <c r="D68" s="9"/>
      <c r="E68" s="8"/>
      <c r="F68" s="8"/>
      <c r="G68" s="8"/>
      <c r="H68" s="8"/>
    </row>
    <row r="69" spans="3:8" x14ac:dyDescent="0.2">
      <c r="C69" s="8"/>
      <c r="D69" s="9"/>
      <c r="E69" s="8"/>
      <c r="F69" s="8"/>
      <c r="G69" s="8"/>
      <c r="H69" s="8"/>
    </row>
    <row r="70" spans="3:8" x14ac:dyDescent="0.2">
      <c r="C70" s="8"/>
      <c r="D70" s="9"/>
      <c r="E70" s="8"/>
      <c r="F70" s="8"/>
      <c r="G70" s="8"/>
      <c r="H70" s="8"/>
    </row>
    <row r="71" spans="3:8" x14ac:dyDescent="0.2">
      <c r="C71" s="8"/>
      <c r="D71" s="9"/>
      <c r="E71" s="8"/>
      <c r="F71" s="8"/>
      <c r="G71" s="8"/>
      <c r="H71" s="8"/>
    </row>
    <row r="72" spans="3:8" x14ac:dyDescent="0.2">
      <c r="C72" s="8"/>
      <c r="D72" s="9"/>
      <c r="E72" s="8"/>
      <c r="F72" s="8"/>
      <c r="G72" s="8"/>
      <c r="H72" s="8"/>
    </row>
    <row r="73" spans="3:8" x14ac:dyDescent="0.2">
      <c r="C73" s="8"/>
      <c r="D73" s="9"/>
      <c r="E73" s="8"/>
      <c r="F73" s="8"/>
      <c r="G73" s="8"/>
      <c r="H73" s="8"/>
    </row>
    <row r="74" spans="3:8" x14ac:dyDescent="0.2">
      <c r="C74" s="8"/>
      <c r="D74" s="9"/>
      <c r="E74" s="8"/>
      <c r="F74" s="8"/>
      <c r="G74" s="8"/>
      <c r="H74" s="8"/>
    </row>
    <row r="75" spans="3:8" x14ac:dyDescent="0.2">
      <c r="C75" s="8"/>
      <c r="D75" s="9"/>
      <c r="E75" s="8"/>
      <c r="F75" s="8"/>
      <c r="G75" s="8"/>
      <c r="H75" s="8"/>
    </row>
    <row r="76" spans="3:8" x14ac:dyDescent="0.2">
      <c r="C76" s="8"/>
      <c r="D76" s="9"/>
      <c r="E76" s="8"/>
      <c r="F76" s="8"/>
      <c r="G76" s="8"/>
      <c r="H76" s="8"/>
    </row>
    <row r="77" spans="3:8" x14ac:dyDescent="0.2">
      <c r="C77" s="8"/>
      <c r="D77" s="9"/>
      <c r="E77" s="8"/>
      <c r="F77" s="8"/>
      <c r="G77" s="8"/>
      <c r="H77" s="8"/>
    </row>
    <row r="78" spans="3:8" x14ac:dyDescent="0.2">
      <c r="C78" s="8"/>
      <c r="D78" s="9"/>
      <c r="E78" s="8"/>
      <c r="F78" s="8"/>
      <c r="G78" s="8"/>
      <c r="H78" s="8"/>
    </row>
    <row r="79" spans="3:8" x14ac:dyDescent="0.2">
      <c r="C79" s="8"/>
      <c r="D79" s="9"/>
      <c r="E79" s="8"/>
      <c r="F79" s="8"/>
      <c r="G79" s="8"/>
      <c r="H79" s="8"/>
    </row>
    <row r="80" spans="3:8" x14ac:dyDescent="0.2">
      <c r="C80" s="8"/>
      <c r="D80" s="9"/>
      <c r="E80" s="8"/>
      <c r="F80" s="8"/>
      <c r="G80" s="8"/>
      <c r="H80" s="8"/>
    </row>
    <row r="81" spans="3:8" x14ac:dyDescent="0.2">
      <c r="C81" s="8"/>
      <c r="D81" s="9"/>
      <c r="E81" s="8"/>
      <c r="F81" s="8"/>
      <c r="G81" s="8"/>
      <c r="H81" s="8"/>
    </row>
    <row r="82" spans="3:8" x14ac:dyDescent="0.2">
      <c r="C82" s="8"/>
      <c r="D82" s="9"/>
      <c r="E82" s="8"/>
      <c r="F82" s="8"/>
      <c r="G82" s="8"/>
      <c r="H82" s="8"/>
    </row>
    <row r="83" spans="3:8" x14ac:dyDescent="0.2">
      <c r="C83" s="8"/>
      <c r="D83" s="9"/>
      <c r="E83" s="8"/>
      <c r="F83" s="8"/>
      <c r="G83" s="8"/>
      <c r="H83" s="8"/>
    </row>
    <row r="84" spans="3:8" x14ac:dyDescent="0.2">
      <c r="C84" s="8"/>
      <c r="D84" s="9"/>
      <c r="E84" s="8"/>
      <c r="F84" s="8"/>
      <c r="G84" s="8"/>
      <c r="H84" s="8"/>
    </row>
    <row r="85" spans="3:8" x14ac:dyDescent="0.2">
      <c r="C85" s="8"/>
      <c r="D85" s="9"/>
      <c r="E85" s="8"/>
      <c r="F85" s="8"/>
      <c r="G85" s="8"/>
      <c r="H85" s="8"/>
    </row>
    <row r="86" spans="3:8" x14ac:dyDescent="0.2">
      <c r="C86" s="8"/>
      <c r="D86" s="9"/>
      <c r="E86" s="8"/>
      <c r="F86" s="8"/>
      <c r="G86" s="8"/>
      <c r="H86" s="8"/>
    </row>
    <row r="87" spans="3:8" x14ac:dyDescent="0.2">
      <c r="C87" s="8"/>
      <c r="D87" s="9"/>
      <c r="E87" s="8"/>
      <c r="F87" s="8"/>
      <c r="G87" s="8"/>
      <c r="H87" s="8"/>
    </row>
    <row r="88" spans="3:8" x14ac:dyDescent="0.2">
      <c r="C88" s="8"/>
      <c r="D88" s="9"/>
      <c r="E88" s="8"/>
      <c r="F88" s="8"/>
      <c r="G88" s="8"/>
      <c r="H88" s="8"/>
    </row>
    <row r="89" spans="3:8" x14ac:dyDescent="0.2">
      <c r="C89" s="8"/>
      <c r="D89" s="9"/>
      <c r="E89" s="8"/>
      <c r="F89" s="8"/>
      <c r="G89" s="8"/>
      <c r="H89" s="8"/>
    </row>
    <row r="90" spans="3:8" x14ac:dyDescent="0.2">
      <c r="C90" s="8"/>
      <c r="D90" s="9"/>
      <c r="E90" s="8"/>
      <c r="F90" s="8"/>
      <c r="G90" s="8"/>
      <c r="H90" s="8"/>
    </row>
    <row r="91" spans="3:8" x14ac:dyDescent="0.2">
      <c r="C91" s="8"/>
      <c r="D91" s="9"/>
      <c r="E91" s="8"/>
      <c r="F91" s="8"/>
      <c r="G91" s="8"/>
      <c r="H91" s="8"/>
    </row>
    <row r="92" spans="3:8" x14ac:dyDescent="0.2">
      <c r="C92" s="8"/>
      <c r="D92" s="9"/>
      <c r="E92" s="8"/>
      <c r="F92" s="8"/>
      <c r="G92" s="8"/>
      <c r="H92" s="8"/>
    </row>
    <row r="93" spans="3:8" x14ac:dyDescent="0.2">
      <c r="C93" s="8"/>
      <c r="D93" s="9"/>
      <c r="E93" s="8"/>
      <c r="F93" s="8"/>
      <c r="G93" s="8"/>
      <c r="H93" s="8"/>
    </row>
    <row r="94" spans="3:8" x14ac:dyDescent="0.2">
      <c r="C94" s="8"/>
      <c r="D94" s="9"/>
      <c r="E94" s="8"/>
      <c r="F94" s="8"/>
      <c r="G94" s="8"/>
      <c r="H94" s="8"/>
    </row>
    <row r="95" spans="3:8" x14ac:dyDescent="0.2">
      <c r="C95" s="8"/>
      <c r="D95" s="9"/>
      <c r="E95" s="8"/>
      <c r="F95" s="8"/>
      <c r="G95" s="8"/>
      <c r="H95" s="8"/>
    </row>
    <row r="96" spans="3:8" x14ac:dyDescent="0.2">
      <c r="C96" s="8"/>
      <c r="D96" s="9"/>
      <c r="E96" s="8"/>
      <c r="F96" s="8"/>
      <c r="G96" s="8"/>
      <c r="H96" s="8"/>
    </row>
    <row r="97" spans="3:8" x14ac:dyDescent="0.2">
      <c r="C97" s="8"/>
      <c r="D97" s="9"/>
      <c r="E97" s="8"/>
      <c r="F97" s="8"/>
      <c r="G97" s="8"/>
      <c r="H97" s="8"/>
    </row>
    <row r="98" spans="3:8" x14ac:dyDescent="0.2">
      <c r="C98" s="8"/>
      <c r="D98" s="9"/>
      <c r="E98" s="8"/>
      <c r="F98" s="8"/>
      <c r="G98" s="8"/>
      <c r="H98" s="8"/>
    </row>
    <row r="99" spans="3:8" x14ac:dyDescent="0.2">
      <c r="C99" s="8"/>
      <c r="D99" s="9"/>
      <c r="E99" s="8"/>
      <c r="F99" s="8"/>
      <c r="G99" s="8"/>
      <c r="H99" s="8"/>
    </row>
    <row r="100" spans="3:8" x14ac:dyDescent="0.2">
      <c r="C100" s="8"/>
      <c r="D100" s="9"/>
      <c r="E100" s="8"/>
      <c r="F100" s="8"/>
      <c r="G100" s="8"/>
      <c r="H100" s="8"/>
    </row>
    <row r="101" spans="3:8" x14ac:dyDescent="0.2">
      <c r="C101" s="8"/>
      <c r="D101" s="9"/>
      <c r="E101" s="8"/>
      <c r="F101" s="8"/>
      <c r="G101" s="8"/>
      <c r="H101" s="8"/>
    </row>
    <row r="102" spans="3:8" x14ac:dyDescent="0.2">
      <c r="C102" s="8"/>
      <c r="D102" s="9"/>
      <c r="E102" s="8"/>
      <c r="F102" s="8"/>
      <c r="G102" s="8"/>
      <c r="H102" s="8"/>
    </row>
    <row r="103" spans="3:8" x14ac:dyDescent="0.2">
      <c r="C103" s="8"/>
      <c r="D103" s="9"/>
      <c r="E103" s="8"/>
      <c r="F103" s="8"/>
      <c r="G103" s="8"/>
      <c r="H103" s="8"/>
    </row>
    <row r="104" spans="3:8" x14ac:dyDescent="0.2">
      <c r="C104" s="8"/>
      <c r="D104" s="9"/>
      <c r="E104" s="8"/>
      <c r="F104" s="8"/>
      <c r="G104" s="8"/>
      <c r="H104" s="8"/>
    </row>
    <row r="105" spans="3:8" x14ac:dyDescent="0.2">
      <c r="C105" s="8"/>
      <c r="D105" s="9"/>
      <c r="E105" s="8"/>
      <c r="F105" s="8"/>
      <c r="G105" s="8"/>
      <c r="H105" s="8"/>
    </row>
    <row r="106" spans="3:8" x14ac:dyDescent="0.2">
      <c r="C106" s="8"/>
      <c r="D106" s="9"/>
      <c r="E106" s="8"/>
      <c r="F106" s="8"/>
      <c r="G106" s="8"/>
      <c r="H106" s="8"/>
    </row>
    <row r="107" spans="3:8" x14ac:dyDescent="0.2">
      <c r="C107" s="8"/>
      <c r="D107" s="9"/>
      <c r="E107" s="8"/>
      <c r="F107" s="8"/>
      <c r="G107" s="8"/>
      <c r="H107" s="8"/>
    </row>
    <row r="108" spans="3:8" x14ac:dyDescent="0.2">
      <c r="C108" s="8"/>
      <c r="D108" s="9"/>
      <c r="E108" s="8"/>
      <c r="F108" s="8"/>
      <c r="G108" s="8"/>
      <c r="H108" s="8"/>
    </row>
    <row r="109" spans="3:8" x14ac:dyDescent="0.2">
      <c r="C109" s="8"/>
      <c r="D109" s="9"/>
      <c r="E109" s="8"/>
      <c r="F109" s="8"/>
      <c r="G109" s="8"/>
      <c r="H109" s="8"/>
    </row>
    <row r="110" spans="3:8" x14ac:dyDescent="0.2">
      <c r="C110" s="8"/>
      <c r="D110" s="9"/>
      <c r="E110" s="8"/>
      <c r="F110" s="8"/>
      <c r="G110" s="8"/>
      <c r="H110" s="8"/>
    </row>
    <row r="111" spans="3:8" x14ac:dyDescent="0.2">
      <c r="C111" s="8"/>
      <c r="D111" s="9"/>
      <c r="E111" s="8"/>
      <c r="F111" s="8"/>
      <c r="G111" s="8"/>
      <c r="H111" s="8"/>
    </row>
    <row r="112" spans="3:8" x14ac:dyDescent="0.2">
      <c r="C112" s="8"/>
      <c r="D112" s="9"/>
      <c r="E112" s="8"/>
      <c r="F112" s="8"/>
      <c r="G112" s="8"/>
      <c r="H112" s="8"/>
    </row>
    <row r="113" spans="3:8" x14ac:dyDescent="0.2">
      <c r="C113" s="8"/>
      <c r="D113" s="9"/>
      <c r="E113" s="8"/>
      <c r="F113" s="8"/>
      <c r="G113" s="8"/>
      <c r="H113" s="8"/>
    </row>
    <row r="114" spans="3:8" x14ac:dyDescent="0.2">
      <c r="C114" s="8"/>
      <c r="D114" s="9"/>
      <c r="E114" s="8"/>
      <c r="F114" s="8"/>
      <c r="G114" s="8"/>
      <c r="H114" s="8"/>
    </row>
    <row r="115" spans="3:8" x14ac:dyDescent="0.2">
      <c r="C115" s="8"/>
      <c r="D115" s="9"/>
      <c r="E115" s="8"/>
      <c r="F115" s="8"/>
      <c r="G115" s="8"/>
      <c r="H115" s="8"/>
    </row>
    <row r="116" spans="3:8" x14ac:dyDescent="0.2">
      <c r="C116" s="8"/>
      <c r="D116" s="9"/>
      <c r="E116" s="8"/>
      <c r="F116" s="8"/>
      <c r="G116" s="8"/>
      <c r="H116" s="8"/>
    </row>
    <row r="117" spans="3:8" x14ac:dyDescent="0.2">
      <c r="C117" s="8"/>
      <c r="D117" s="9"/>
      <c r="E117" s="8"/>
      <c r="F117" s="8"/>
      <c r="G117" s="8"/>
      <c r="H117" s="8"/>
    </row>
    <row r="118" spans="3:8" x14ac:dyDescent="0.2">
      <c r="C118" s="8"/>
      <c r="D118" s="9"/>
      <c r="E118" s="8"/>
      <c r="F118" s="8"/>
      <c r="G118" s="8"/>
      <c r="H118" s="8"/>
    </row>
    <row r="119" spans="3:8" x14ac:dyDescent="0.2">
      <c r="C119" s="8"/>
      <c r="D119" s="9"/>
      <c r="E119" s="8"/>
      <c r="F119" s="8"/>
      <c r="G119" s="8"/>
      <c r="H119" s="8"/>
    </row>
    <row r="120" spans="3:8" x14ac:dyDescent="0.2">
      <c r="C120" s="8"/>
      <c r="D120" s="9"/>
      <c r="E120" s="8"/>
      <c r="F120" s="8"/>
      <c r="G120" s="8"/>
      <c r="H120" s="8"/>
    </row>
    <row r="121" spans="3:8" x14ac:dyDescent="0.2">
      <c r="C121" s="8"/>
      <c r="D121" s="9"/>
      <c r="E121" s="8"/>
      <c r="F121" s="8"/>
      <c r="G121" s="8"/>
      <c r="H121" s="8"/>
    </row>
    <row r="122" spans="3:8" x14ac:dyDescent="0.2">
      <c r="C122" s="8"/>
      <c r="D122" s="9"/>
      <c r="E122" s="8"/>
      <c r="F122" s="8"/>
      <c r="G122" s="8"/>
      <c r="H122" s="8"/>
    </row>
    <row r="123" spans="3:8" x14ac:dyDescent="0.2">
      <c r="C123" s="8"/>
      <c r="D123" s="9"/>
      <c r="E123" s="8"/>
      <c r="F123" s="8"/>
      <c r="G123" s="8"/>
      <c r="H123" s="8"/>
    </row>
    <row r="124" spans="3:8" x14ac:dyDescent="0.2">
      <c r="C124" s="8"/>
      <c r="D124" s="9"/>
      <c r="E124" s="8"/>
      <c r="F124" s="8"/>
      <c r="G124" s="8"/>
      <c r="H124" s="8"/>
    </row>
    <row r="125" spans="3:8" x14ac:dyDescent="0.2">
      <c r="C125" s="8"/>
      <c r="D125" s="9"/>
      <c r="E125" s="8"/>
      <c r="F125" s="8"/>
      <c r="G125" s="8"/>
      <c r="H125" s="8"/>
    </row>
    <row r="126" spans="3:8" x14ac:dyDescent="0.2">
      <c r="C126" s="8"/>
      <c r="D126" s="9"/>
      <c r="E126" s="8"/>
      <c r="F126" s="8"/>
      <c r="G126" s="8"/>
      <c r="H126" s="8"/>
    </row>
    <row r="127" spans="3:8" x14ac:dyDescent="0.2">
      <c r="C127" s="8"/>
      <c r="D127" s="9"/>
      <c r="E127" s="8"/>
      <c r="F127" s="8"/>
      <c r="G127" s="8"/>
      <c r="H127" s="8"/>
    </row>
    <row r="128" spans="3:8" x14ac:dyDescent="0.2">
      <c r="C128" s="8"/>
      <c r="D128" s="9"/>
      <c r="E128" s="8"/>
      <c r="F128" s="8"/>
      <c r="G128" s="8"/>
      <c r="H128" s="8"/>
    </row>
    <row r="129" spans="3:8" x14ac:dyDescent="0.2">
      <c r="C129" s="8"/>
      <c r="D129" s="9"/>
      <c r="E129" s="8"/>
      <c r="F129" s="8"/>
      <c r="G129" s="8"/>
      <c r="H129" s="8"/>
    </row>
    <row r="130" spans="3:8" x14ac:dyDescent="0.2">
      <c r="C130" s="8"/>
      <c r="D130" s="9"/>
      <c r="E130" s="8"/>
      <c r="F130" s="8"/>
      <c r="G130" s="8"/>
      <c r="H130" s="8"/>
    </row>
    <row r="131" spans="3:8" x14ac:dyDescent="0.2">
      <c r="C131" s="8"/>
      <c r="D131" s="9"/>
      <c r="E131" s="8"/>
      <c r="F131" s="8"/>
      <c r="G131" s="8"/>
      <c r="H131" s="8"/>
    </row>
    <row r="132" spans="3:8" x14ac:dyDescent="0.2">
      <c r="C132" s="8"/>
      <c r="D132" s="9"/>
      <c r="E132" s="8"/>
      <c r="F132" s="8"/>
      <c r="G132" s="8"/>
      <c r="H132" s="8"/>
    </row>
    <row r="133" spans="3:8" x14ac:dyDescent="0.2">
      <c r="C133" s="8"/>
      <c r="D133" s="9"/>
      <c r="E133" s="8"/>
      <c r="F133" s="8"/>
      <c r="G133" s="8"/>
      <c r="H133" s="8"/>
    </row>
    <row r="134" spans="3:8" x14ac:dyDescent="0.2">
      <c r="C134" s="8"/>
      <c r="D134" s="9"/>
      <c r="E134" s="8"/>
      <c r="F134" s="8"/>
      <c r="G134" s="8"/>
      <c r="H134" s="8"/>
    </row>
    <row r="135" spans="3:8" x14ac:dyDescent="0.2">
      <c r="C135" s="8"/>
      <c r="D135" s="9"/>
      <c r="E135" s="8"/>
      <c r="F135" s="8"/>
      <c r="G135" s="8"/>
      <c r="H135" s="8"/>
    </row>
    <row r="136" spans="3:8" x14ac:dyDescent="0.2">
      <c r="C136" s="8"/>
      <c r="D136" s="9"/>
      <c r="E136" s="8"/>
      <c r="F136" s="8"/>
      <c r="G136" s="8"/>
      <c r="H136" s="8"/>
    </row>
    <row r="137" spans="3:8" x14ac:dyDescent="0.2">
      <c r="C137" s="8"/>
      <c r="D137" s="9"/>
      <c r="E137" s="8"/>
      <c r="F137" s="8"/>
      <c r="G137" s="8"/>
      <c r="H137" s="8"/>
    </row>
    <row r="138" spans="3:8" x14ac:dyDescent="0.2">
      <c r="C138" s="8"/>
      <c r="D138" s="9"/>
      <c r="E138" s="8"/>
      <c r="F138" s="8"/>
      <c r="G138" s="8"/>
      <c r="H138" s="8"/>
    </row>
    <row r="139" spans="3:8" x14ac:dyDescent="0.2">
      <c r="C139" s="8"/>
      <c r="D139" s="9"/>
      <c r="E139" s="8"/>
      <c r="F139" s="8"/>
      <c r="G139" s="8"/>
      <c r="H139" s="8"/>
    </row>
    <row r="140" spans="3:8" x14ac:dyDescent="0.2">
      <c r="C140" s="8"/>
      <c r="D140" s="9"/>
      <c r="E140" s="8"/>
      <c r="F140" s="8"/>
      <c r="G140" s="8"/>
      <c r="H140" s="8"/>
    </row>
    <row r="141" spans="3:8" x14ac:dyDescent="0.2">
      <c r="C141" s="8"/>
      <c r="D141" s="9"/>
      <c r="E141" s="8"/>
      <c r="F141" s="8"/>
      <c r="G141" s="8"/>
      <c r="H141" s="8"/>
    </row>
    <row r="142" spans="3:8" x14ac:dyDescent="0.2">
      <c r="C142" s="8"/>
      <c r="D142" s="9"/>
      <c r="E142" s="8"/>
      <c r="F142" s="8"/>
      <c r="G142" s="8"/>
      <c r="H142" s="8"/>
    </row>
    <row r="143" spans="3:8" x14ac:dyDescent="0.2">
      <c r="C143" s="8"/>
      <c r="D143" s="9"/>
      <c r="E143" s="8"/>
      <c r="F143" s="8"/>
      <c r="G143" s="8"/>
      <c r="H143" s="8"/>
    </row>
    <row r="144" spans="3:8" x14ac:dyDescent="0.2">
      <c r="C144" s="8"/>
      <c r="D144" s="9"/>
      <c r="E144" s="8"/>
      <c r="F144" s="8"/>
      <c r="G144" s="8"/>
      <c r="H144" s="8"/>
    </row>
    <row r="145" spans="3:8" x14ac:dyDescent="0.2">
      <c r="C145" s="8"/>
      <c r="D145" s="9"/>
      <c r="E145" s="8"/>
      <c r="F145" s="8"/>
      <c r="G145" s="8"/>
      <c r="H145" s="8"/>
    </row>
    <row r="146" spans="3:8" x14ac:dyDescent="0.2">
      <c r="C146" s="8"/>
      <c r="D146" s="9"/>
      <c r="E146" s="8"/>
      <c r="F146" s="8"/>
      <c r="G146" s="8"/>
      <c r="H146" s="8"/>
    </row>
    <row r="147" spans="3:8" x14ac:dyDescent="0.2">
      <c r="C147" s="8"/>
      <c r="D147" s="9"/>
      <c r="E147" s="8"/>
      <c r="F147" s="8"/>
      <c r="G147" s="8"/>
      <c r="H147" s="8"/>
    </row>
    <row r="148" spans="3:8" x14ac:dyDescent="0.2">
      <c r="C148" s="8"/>
      <c r="D148" s="9"/>
      <c r="E148" s="8"/>
      <c r="F148" s="8"/>
      <c r="G148" s="8"/>
      <c r="H148" s="8"/>
    </row>
    <row r="149" spans="3:8" x14ac:dyDescent="0.2">
      <c r="C149" s="8"/>
      <c r="D149" s="9"/>
      <c r="E149" s="8"/>
      <c r="F149" s="8"/>
      <c r="G149" s="8"/>
      <c r="H149" s="8"/>
    </row>
    <row r="150" spans="3:8" x14ac:dyDescent="0.2">
      <c r="C150" s="8"/>
      <c r="D150" s="9"/>
      <c r="E150" s="8"/>
      <c r="F150" s="8"/>
      <c r="G150" s="8"/>
      <c r="H150" s="8"/>
    </row>
    <row r="151" spans="3:8" x14ac:dyDescent="0.2">
      <c r="C151" s="8"/>
      <c r="D151" s="9"/>
      <c r="E151" s="8"/>
      <c r="F151" s="8"/>
      <c r="G151" s="8"/>
      <c r="H151" s="8"/>
    </row>
    <row r="152" spans="3:8" x14ac:dyDescent="0.2">
      <c r="C152" s="8"/>
      <c r="D152" s="9"/>
      <c r="E152" s="8"/>
      <c r="F152" s="8"/>
      <c r="G152" s="8"/>
      <c r="H152" s="8"/>
    </row>
    <row r="153" spans="3:8" x14ac:dyDescent="0.2">
      <c r="C153" s="8"/>
      <c r="D153" s="9"/>
      <c r="E153" s="8"/>
      <c r="F153" s="8"/>
      <c r="G153" s="8"/>
      <c r="H153" s="8"/>
    </row>
    <row r="154" spans="3:8" x14ac:dyDescent="0.2">
      <c r="C154" s="8"/>
      <c r="D154" s="9"/>
      <c r="E154" s="8"/>
      <c r="F154" s="8"/>
      <c r="G154" s="8"/>
      <c r="H154" s="8"/>
    </row>
    <row r="155" spans="3:8" x14ac:dyDescent="0.2">
      <c r="C155" s="8"/>
      <c r="D155" s="9"/>
      <c r="E155" s="8"/>
      <c r="F155" s="8"/>
      <c r="G155" s="8"/>
      <c r="H155" s="8"/>
    </row>
    <row r="156" spans="3:8" x14ac:dyDescent="0.2">
      <c r="C156" s="8"/>
      <c r="D156" s="9"/>
      <c r="E156" s="8"/>
      <c r="F156" s="8"/>
      <c r="G156" s="8"/>
      <c r="H156" s="8"/>
    </row>
    <row r="157" spans="3:8" x14ac:dyDescent="0.2">
      <c r="C157" s="8"/>
      <c r="D157" s="9"/>
      <c r="E157" s="8"/>
      <c r="F157" s="8"/>
      <c r="G157" s="8"/>
      <c r="H157" s="8"/>
    </row>
    <row r="158" spans="3:8" x14ac:dyDescent="0.2">
      <c r="C158" s="8"/>
      <c r="D158" s="9"/>
      <c r="E158" s="8"/>
      <c r="F158" s="8"/>
      <c r="G158" s="8"/>
      <c r="H158" s="8"/>
    </row>
    <row r="159" spans="3:8" x14ac:dyDescent="0.2">
      <c r="C159" s="8"/>
      <c r="D159" s="9"/>
      <c r="E159" s="8"/>
      <c r="F159" s="8"/>
      <c r="G159" s="8"/>
      <c r="H159" s="8"/>
    </row>
    <row r="160" spans="3:8" x14ac:dyDescent="0.2">
      <c r="C160" s="8"/>
      <c r="D160" s="9"/>
      <c r="E160" s="8"/>
      <c r="F160" s="8"/>
      <c r="G160" s="8"/>
      <c r="H160" s="8"/>
    </row>
    <row r="161" spans="3:8" x14ac:dyDescent="0.2">
      <c r="C161" s="8"/>
      <c r="D161" s="9"/>
      <c r="E161" s="8"/>
      <c r="F161" s="8"/>
      <c r="G161" s="8"/>
      <c r="H161" s="8"/>
    </row>
    <row r="162" spans="3:8" x14ac:dyDescent="0.2">
      <c r="C162" s="8"/>
      <c r="D162" s="9"/>
      <c r="E162" s="8"/>
      <c r="F162" s="8"/>
      <c r="G162" s="8"/>
      <c r="H162" s="8"/>
    </row>
    <row r="163" spans="3:8" x14ac:dyDescent="0.2">
      <c r="C163" s="8"/>
      <c r="D163" s="9"/>
      <c r="E163" s="8"/>
      <c r="F163" s="8"/>
      <c r="G163" s="8"/>
      <c r="H163" s="8"/>
    </row>
    <row r="164" spans="3:8" x14ac:dyDescent="0.2">
      <c r="C164" s="8"/>
      <c r="D164" s="9"/>
      <c r="E164" s="8"/>
      <c r="F164" s="8"/>
      <c r="G164" s="8"/>
      <c r="H164" s="8"/>
    </row>
    <row r="165" spans="3:8" x14ac:dyDescent="0.2">
      <c r="C165" s="8"/>
      <c r="D165" s="9"/>
      <c r="E165" s="8"/>
      <c r="F165" s="8"/>
      <c r="G165" s="8"/>
      <c r="H165" s="8"/>
    </row>
    <row r="166" spans="3:8" x14ac:dyDescent="0.2">
      <c r="C166" s="8"/>
      <c r="D166" s="9"/>
      <c r="E166" s="8"/>
      <c r="F166" s="8"/>
      <c r="G166" s="8"/>
      <c r="H166" s="8"/>
    </row>
    <row r="167" spans="3:8" x14ac:dyDescent="0.2">
      <c r="C167" s="8"/>
      <c r="D167" s="9"/>
      <c r="E167" s="8"/>
      <c r="F167" s="8"/>
      <c r="G167" s="8"/>
      <c r="H167" s="8"/>
    </row>
    <row r="168" spans="3:8" x14ac:dyDescent="0.2">
      <c r="C168" s="8"/>
      <c r="D168" s="9"/>
      <c r="E168" s="8"/>
      <c r="F168" s="8"/>
      <c r="G168" s="8"/>
      <c r="H168" s="8"/>
    </row>
    <row r="169" spans="3:8" x14ac:dyDescent="0.2">
      <c r="C169" s="8"/>
      <c r="D169" s="9"/>
      <c r="E169" s="8"/>
      <c r="F169" s="8"/>
      <c r="G169" s="8"/>
      <c r="H169" s="8"/>
    </row>
    <row r="170" spans="3:8" x14ac:dyDescent="0.2">
      <c r="C170" s="8"/>
      <c r="D170" s="9"/>
      <c r="E170" s="8"/>
      <c r="F170" s="8"/>
      <c r="G170" s="8"/>
      <c r="H170" s="8"/>
    </row>
    <row r="171" spans="3:8" x14ac:dyDescent="0.2">
      <c r="C171" s="8"/>
      <c r="D171" s="9"/>
      <c r="E171" s="8"/>
      <c r="F171" s="8"/>
      <c r="G171" s="8"/>
      <c r="H171" s="8"/>
    </row>
    <row r="172" spans="3:8" x14ac:dyDescent="0.2">
      <c r="C172" s="8"/>
      <c r="D172" s="9"/>
      <c r="E172" s="8"/>
      <c r="F172" s="8"/>
      <c r="G172" s="8"/>
      <c r="H172" s="8"/>
    </row>
    <row r="173" spans="3:8" x14ac:dyDescent="0.2">
      <c r="C173" s="8"/>
      <c r="D173" s="9"/>
      <c r="E173" s="8"/>
      <c r="F173" s="8"/>
      <c r="G173" s="8"/>
      <c r="H173" s="8"/>
    </row>
    <row r="174" spans="3:8" x14ac:dyDescent="0.2">
      <c r="C174" s="8"/>
      <c r="D174" s="9"/>
      <c r="E174" s="8"/>
      <c r="F174" s="8"/>
      <c r="G174" s="8"/>
      <c r="H174" s="8"/>
    </row>
    <row r="175" spans="3:8" x14ac:dyDescent="0.2">
      <c r="C175" s="8"/>
      <c r="D175" s="9"/>
      <c r="E175" s="8"/>
      <c r="F175" s="8"/>
      <c r="G175" s="8"/>
      <c r="H175" s="8"/>
    </row>
    <row r="176" spans="3:8" x14ac:dyDescent="0.2">
      <c r="C176" s="8"/>
      <c r="D176" s="9"/>
      <c r="E176" s="8"/>
      <c r="F176" s="8"/>
      <c r="G176" s="8"/>
      <c r="H176" s="8"/>
    </row>
    <row r="177" spans="3:8" x14ac:dyDescent="0.2">
      <c r="C177" s="8"/>
      <c r="D177" s="9"/>
      <c r="E177" s="8"/>
      <c r="F177" s="8"/>
      <c r="G177" s="8"/>
      <c r="H177" s="8"/>
    </row>
    <row r="178" spans="3:8" x14ac:dyDescent="0.2">
      <c r="C178" s="8"/>
      <c r="D178" s="9"/>
      <c r="E178" s="8"/>
      <c r="F178" s="8"/>
      <c r="G178" s="8"/>
      <c r="H178" s="8"/>
    </row>
    <row r="179" spans="3:8" x14ac:dyDescent="0.2">
      <c r="C179" s="8"/>
      <c r="D179" s="9"/>
      <c r="E179" s="8"/>
      <c r="F179" s="8"/>
      <c r="G179" s="8"/>
      <c r="H179" s="8"/>
    </row>
    <row r="180" spans="3:8" x14ac:dyDescent="0.2">
      <c r="C180" s="8"/>
      <c r="D180" s="9"/>
      <c r="E180" s="8"/>
      <c r="F180" s="8"/>
      <c r="G180" s="8"/>
      <c r="H180" s="8"/>
    </row>
    <row r="181" spans="3:8" x14ac:dyDescent="0.2">
      <c r="C181" s="8"/>
      <c r="D181" s="9"/>
      <c r="E181" s="8"/>
      <c r="F181" s="8"/>
      <c r="G181" s="8"/>
      <c r="H181" s="8"/>
    </row>
    <row r="182" spans="3:8" x14ac:dyDescent="0.2">
      <c r="C182" s="8"/>
      <c r="D182" s="9"/>
      <c r="E182" s="8"/>
      <c r="F182" s="8"/>
      <c r="G182" s="8"/>
      <c r="H182" s="8"/>
    </row>
    <row r="183" spans="3:8" x14ac:dyDescent="0.2">
      <c r="C183" s="8"/>
      <c r="D183" s="9"/>
      <c r="E183" s="8"/>
      <c r="F183" s="8"/>
      <c r="G183" s="8"/>
      <c r="H183" s="8"/>
    </row>
    <row r="184" spans="3:8" x14ac:dyDescent="0.2">
      <c r="C184" s="8"/>
      <c r="D184" s="9"/>
      <c r="E184" s="8"/>
      <c r="F184" s="8"/>
      <c r="G184" s="8"/>
      <c r="H184" s="8"/>
    </row>
    <row r="185" spans="3:8" x14ac:dyDescent="0.2">
      <c r="C185" s="8"/>
      <c r="D185" s="9"/>
      <c r="E185" s="8"/>
      <c r="F185" s="8"/>
      <c r="G185" s="8"/>
      <c r="H185" s="8"/>
    </row>
    <row r="186" spans="3:8" x14ac:dyDescent="0.2">
      <c r="C186" s="8"/>
      <c r="D186" s="9"/>
      <c r="E186" s="8"/>
      <c r="F186" s="8"/>
      <c r="G186" s="8"/>
      <c r="H186" s="8"/>
    </row>
    <row r="187" spans="3:8" x14ac:dyDescent="0.2">
      <c r="C187" s="8"/>
      <c r="D187" s="9"/>
      <c r="E187" s="8"/>
      <c r="F187" s="8"/>
      <c r="G187" s="8"/>
      <c r="H187" s="8"/>
    </row>
    <row r="188" spans="3:8" x14ac:dyDescent="0.2">
      <c r="C188" s="8"/>
      <c r="D188" s="9"/>
      <c r="E188" s="8"/>
      <c r="F188" s="8"/>
      <c r="G188" s="8"/>
      <c r="H188" s="8"/>
    </row>
    <row r="189" spans="3:8" x14ac:dyDescent="0.2">
      <c r="C189" s="8"/>
      <c r="D189" s="9"/>
      <c r="E189" s="8"/>
      <c r="F189" s="8"/>
      <c r="G189" s="8"/>
      <c r="H189" s="8"/>
    </row>
    <row r="190" spans="3:8" x14ac:dyDescent="0.2">
      <c r="C190" s="8"/>
      <c r="D190" s="9"/>
      <c r="E190" s="8"/>
      <c r="F190" s="8"/>
      <c r="G190" s="8"/>
      <c r="H190" s="8"/>
    </row>
    <row r="191" spans="3:8" x14ac:dyDescent="0.2">
      <c r="C191" s="8"/>
      <c r="D191" s="9"/>
      <c r="E191" s="8"/>
      <c r="F191" s="8"/>
      <c r="G191" s="8"/>
      <c r="H191" s="8"/>
    </row>
    <row r="192" spans="3:8" x14ac:dyDescent="0.2">
      <c r="C192" s="8"/>
      <c r="D192" s="9"/>
      <c r="E192" s="8"/>
      <c r="F192" s="8"/>
      <c r="G192" s="8"/>
      <c r="H192" s="8"/>
    </row>
    <row r="193" spans="3:8" x14ac:dyDescent="0.2">
      <c r="C193" s="8"/>
      <c r="D193" s="9"/>
      <c r="E193" s="8"/>
      <c r="F193" s="8"/>
      <c r="G193" s="8"/>
      <c r="H193" s="8"/>
    </row>
    <row r="194" spans="3:8" x14ac:dyDescent="0.2">
      <c r="C194" s="8"/>
      <c r="D194" s="9"/>
      <c r="E194" s="8"/>
      <c r="F194" s="8"/>
      <c r="G194" s="8"/>
      <c r="H194" s="8"/>
    </row>
    <row r="195" spans="3:8" x14ac:dyDescent="0.2">
      <c r="C195" s="8"/>
      <c r="D195" s="9"/>
      <c r="E195" s="8"/>
      <c r="F195" s="8"/>
      <c r="G195" s="8"/>
      <c r="H195" s="8"/>
    </row>
    <row r="196" spans="3:8" x14ac:dyDescent="0.2">
      <c r="C196" s="8"/>
      <c r="D196" s="9"/>
      <c r="E196" s="8"/>
      <c r="F196" s="8"/>
      <c r="G196" s="8"/>
      <c r="H196" s="8"/>
    </row>
    <row r="197" spans="3:8" x14ac:dyDescent="0.2">
      <c r="C197" s="8"/>
      <c r="D197" s="9"/>
      <c r="E197" s="8"/>
      <c r="F197" s="8"/>
      <c r="G197" s="8"/>
      <c r="H197" s="8"/>
    </row>
    <row r="198" spans="3:8" x14ac:dyDescent="0.2">
      <c r="C198" s="8"/>
      <c r="D198" s="9"/>
      <c r="E198" s="8"/>
      <c r="F198" s="8"/>
      <c r="G198" s="8"/>
      <c r="H198" s="8"/>
    </row>
    <row r="199" spans="3:8" x14ac:dyDescent="0.2">
      <c r="C199" s="8"/>
      <c r="D199" s="9"/>
      <c r="E199" s="8"/>
      <c r="F199" s="8"/>
      <c r="G199" s="8"/>
      <c r="H199" s="8"/>
    </row>
    <row r="200" spans="3:8" x14ac:dyDescent="0.2">
      <c r="C200" s="8"/>
      <c r="D200" s="9"/>
      <c r="E200" s="8"/>
      <c r="F200" s="8"/>
      <c r="G200" s="8"/>
      <c r="H200" s="8"/>
    </row>
    <row r="201" spans="3:8" x14ac:dyDescent="0.2">
      <c r="C201" s="8"/>
      <c r="D201" s="9"/>
      <c r="E201" s="8"/>
      <c r="F201" s="8"/>
      <c r="G201" s="8"/>
      <c r="H201" s="8"/>
    </row>
    <row r="202" spans="3:8" x14ac:dyDescent="0.2">
      <c r="C202" s="8"/>
      <c r="D202" s="9"/>
      <c r="E202" s="8"/>
      <c r="F202" s="8"/>
      <c r="G202" s="8"/>
      <c r="H202" s="8"/>
    </row>
    <row r="203" spans="3:8" x14ac:dyDescent="0.2">
      <c r="C203" s="8"/>
      <c r="D203" s="9"/>
      <c r="E203" s="8"/>
      <c r="F203" s="8"/>
      <c r="G203" s="8"/>
      <c r="H203" s="8"/>
    </row>
    <row r="204" spans="3:8" x14ac:dyDescent="0.2">
      <c r="C204" s="8"/>
      <c r="D204" s="9"/>
      <c r="E204" s="8"/>
      <c r="F204" s="8"/>
      <c r="G204" s="8"/>
      <c r="H204" s="8"/>
    </row>
    <row r="205" spans="3:8" x14ac:dyDescent="0.2">
      <c r="C205" s="8"/>
      <c r="D205" s="9"/>
      <c r="E205" s="8"/>
      <c r="F205" s="8"/>
      <c r="G205" s="8"/>
      <c r="H205" s="8"/>
    </row>
    <row r="206" spans="3:8" x14ac:dyDescent="0.2">
      <c r="C206" s="8"/>
      <c r="D206" s="9"/>
      <c r="E206" s="8"/>
      <c r="F206" s="8"/>
      <c r="G206" s="8"/>
      <c r="H206" s="8"/>
    </row>
    <row r="207" spans="3:8" x14ac:dyDescent="0.2">
      <c r="C207" s="8"/>
      <c r="D207" s="9"/>
      <c r="E207" s="8"/>
      <c r="F207" s="8"/>
      <c r="G207" s="8"/>
      <c r="H207" s="8"/>
    </row>
    <row r="208" spans="3:8" x14ac:dyDescent="0.2">
      <c r="C208" s="8"/>
      <c r="D208" s="9"/>
      <c r="E208" s="8"/>
      <c r="F208" s="8"/>
      <c r="G208" s="8"/>
      <c r="H208" s="8"/>
    </row>
    <row r="209" spans="3:8" x14ac:dyDescent="0.2">
      <c r="C209" s="8"/>
      <c r="D209" s="9"/>
      <c r="E209" s="8"/>
      <c r="F209" s="8"/>
      <c r="G209" s="8"/>
      <c r="H209" s="8"/>
    </row>
    <row r="210" spans="3:8" x14ac:dyDescent="0.2">
      <c r="C210" s="8"/>
      <c r="D210" s="9"/>
      <c r="E210" s="8"/>
      <c r="F210" s="8"/>
      <c r="G210" s="8"/>
      <c r="H210" s="8"/>
    </row>
    <row r="211" spans="3:8" x14ac:dyDescent="0.2">
      <c r="C211" s="8"/>
      <c r="D211" s="9"/>
      <c r="E211" s="8"/>
      <c r="F211" s="8"/>
      <c r="G211" s="8"/>
      <c r="H211" s="8"/>
    </row>
    <row r="212" spans="3:8" x14ac:dyDescent="0.2">
      <c r="C212" s="8"/>
      <c r="D212" s="9"/>
      <c r="E212" s="8"/>
      <c r="F212" s="8"/>
      <c r="G212" s="8"/>
      <c r="H212" s="8"/>
    </row>
    <row r="213" spans="3:8" x14ac:dyDescent="0.2">
      <c r="C213" s="8"/>
      <c r="D213" s="9"/>
      <c r="E213" s="8"/>
      <c r="F213" s="8"/>
      <c r="G213" s="8"/>
      <c r="H213" s="8"/>
    </row>
    <row r="214" spans="3:8" x14ac:dyDescent="0.2">
      <c r="C214" s="8"/>
      <c r="D214" s="9"/>
      <c r="E214" s="8"/>
      <c r="F214" s="8"/>
      <c r="G214" s="8"/>
      <c r="H214" s="8"/>
    </row>
    <row r="215" spans="3:8" x14ac:dyDescent="0.2">
      <c r="C215" s="8"/>
      <c r="D215" s="9"/>
      <c r="E215" s="8"/>
      <c r="F215" s="8"/>
      <c r="G215" s="8"/>
      <c r="H215" s="8"/>
    </row>
    <row r="216" spans="3:8" x14ac:dyDescent="0.2">
      <c r="C216" s="8"/>
      <c r="D216" s="9"/>
      <c r="E216" s="8"/>
      <c r="F216" s="8"/>
      <c r="G216" s="8"/>
      <c r="H216" s="8"/>
    </row>
    <row r="217" spans="3:8" x14ac:dyDescent="0.2">
      <c r="C217" s="8"/>
      <c r="D217" s="9"/>
      <c r="E217" s="8"/>
      <c r="F217" s="8"/>
      <c r="G217" s="8"/>
      <c r="H217" s="8"/>
    </row>
    <row r="218" spans="3:8" x14ac:dyDescent="0.2">
      <c r="C218" s="8"/>
      <c r="D218" s="9"/>
      <c r="E218" s="8"/>
      <c r="F218" s="8"/>
      <c r="G218" s="8"/>
      <c r="H218" s="8"/>
    </row>
    <row r="219" spans="3:8" x14ac:dyDescent="0.2">
      <c r="C219" s="8"/>
      <c r="D219" s="9"/>
      <c r="E219" s="8"/>
      <c r="F219" s="8"/>
      <c r="G219" s="8"/>
      <c r="H219" s="8"/>
    </row>
    <row r="220" spans="3:8" x14ac:dyDescent="0.2">
      <c r="C220" s="8"/>
      <c r="D220" s="9"/>
      <c r="E220" s="8"/>
      <c r="F220" s="8"/>
      <c r="G220" s="8"/>
      <c r="H220" s="8"/>
    </row>
    <row r="221" spans="3:8" x14ac:dyDescent="0.2">
      <c r="C221" s="8"/>
      <c r="D221" s="9"/>
      <c r="E221" s="8"/>
      <c r="F221" s="8"/>
      <c r="G221" s="8"/>
      <c r="H221" s="8"/>
    </row>
    <row r="222" spans="3:8" x14ac:dyDescent="0.2">
      <c r="C222" s="8"/>
      <c r="D222" s="9"/>
      <c r="E222" s="8"/>
      <c r="F222" s="8"/>
      <c r="G222" s="8"/>
      <c r="H222" s="8"/>
    </row>
    <row r="223" spans="3:8" x14ac:dyDescent="0.2">
      <c r="C223" s="8"/>
      <c r="D223" s="9"/>
      <c r="E223" s="8"/>
      <c r="F223" s="8"/>
      <c r="G223" s="8"/>
      <c r="H223" s="8"/>
    </row>
    <row r="224" spans="3:8" x14ac:dyDescent="0.2">
      <c r="C224" s="8"/>
      <c r="D224" s="9"/>
      <c r="E224" s="8"/>
      <c r="F224" s="8"/>
      <c r="G224" s="8"/>
      <c r="H224" s="8"/>
    </row>
    <row r="225" spans="3:8" x14ac:dyDescent="0.2">
      <c r="C225" s="8"/>
      <c r="D225" s="9"/>
      <c r="E225" s="8"/>
      <c r="F225" s="8"/>
      <c r="G225" s="8"/>
      <c r="H225" s="8"/>
    </row>
    <row r="226" spans="3:8" x14ac:dyDescent="0.2">
      <c r="C226" s="8"/>
      <c r="D226" s="9"/>
      <c r="E226" s="8"/>
      <c r="F226" s="8"/>
      <c r="G226" s="8"/>
      <c r="H226" s="8"/>
    </row>
    <row r="227" spans="3:8" x14ac:dyDescent="0.2">
      <c r="C227" s="8"/>
      <c r="D227" s="9"/>
      <c r="E227" s="8"/>
      <c r="F227" s="8"/>
      <c r="G227" s="8"/>
      <c r="H227" s="8"/>
    </row>
    <row r="228" spans="3:8" x14ac:dyDescent="0.2">
      <c r="C228" s="8"/>
      <c r="D228" s="9"/>
      <c r="E228" s="8"/>
      <c r="F228" s="8"/>
      <c r="G228" s="8"/>
      <c r="H228" s="8"/>
    </row>
    <row r="229" spans="3:8" x14ac:dyDescent="0.2">
      <c r="C229" s="8"/>
      <c r="D229" s="9"/>
      <c r="E229" s="8"/>
      <c r="F229" s="8"/>
      <c r="G229" s="8"/>
      <c r="H229" s="8"/>
    </row>
    <row r="230" spans="3:8" x14ac:dyDescent="0.2">
      <c r="C230" s="8"/>
      <c r="D230" s="9"/>
      <c r="E230" s="8"/>
      <c r="F230" s="8"/>
      <c r="G230" s="8"/>
      <c r="H230" s="8"/>
    </row>
    <row r="231" spans="3:8" x14ac:dyDescent="0.2">
      <c r="C231" s="8"/>
      <c r="D231" s="9"/>
      <c r="E231" s="8"/>
      <c r="F231" s="8"/>
      <c r="G231" s="8"/>
      <c r="H231" s="8"/>
    </row>
    <row r="232" spans="3:8" x14ac:dyDescent="0.2">
      <c r="C232" s="8"/>
      <c r="D232" s="9"/>
      <c r="E232" s="8"/>
      <c r="F232" s="8"/>
      <c r="G232" s="8"/>
      <c r="H232" s="8"/>
    </row>
    <row r="233" spans="3:8" x14ac:dyDescent="0.2">
      <c r="C233" s="8"/>
      <c r="D233" s="9"/>
      <c r="E233" s="8"/>
      <c r="F233" s="8"/>
      <c r="G233" s="8"/>
      <c r="H233" s="8"/>
    </row>
    <row r="234" spans="3:8" x14ac:dyDescent="0.2">
      <c r="C234" s="8"/>
      <c r="D234" s="9"/>
      <c r="E234" s="8"/>
      <c r="F234" s="8"/>
      <c r="G234" s="8"/>
      <c r="H234" s="8"/>
    </row>
    <row r="235" spans="3:8" x14ac:dyDescent="0.2">
      <c r="C235" s="8"/>
      <c r="D235" s="9"/>
      <c r="E235" s="8"/>
      <c r="F235" s="8"/>
      <c r="G235" s="8"/>
      <c r="H235" s="8"/>
    </row>
    <row r="236" spans="3:8" x14ac:dyDescent="0.2">
      <c r="C236" s="8"/>
      <c r="D236" s="9"/>
      <c r="E236" s="8"/>
      <c r="F236" s="8"/>
      <c r="G236" s="8"/>
      <c r="H236" s="8"/>
    </row>
    <row r="237" spans="3:8" x14ac:dyDescent="0.2">
      <c r="C237" s="8"/>
      <c r="D237" s="9"/>
      <c r="E237" s="8"/>
      <c r="F237" s="8"/>
      <c r="G237" s="8"/>
      <c r="H237" s="8"/>
    </row>
    <row r="238" spans="3:8" x14ac:dyDescent="0.2">
      <c r="C238" s="8"/>
      <c r="D238" s="9"/>
      <c r="E238" s="8"/>
      <c r="F238" s="8"/>
      <c r="G238" s="8"/>
      <c r="H238" s="8"/>
    </row>
    <row r="239" spans="3:8" x14ac:dyDescent="0.2">
      <c r="C239" s="8"/>
      <c r="D239" s="9"/>
      <c r="E239" s="8"/>
      <c r="F239" s="8"/>
      <c r="G239" s="8"/>
      <c r="H239" s="8"/>
    </row>
    <row r="240" spans="3:8" x14ac:dyDescent="0.2">
      <c r="C240" s="8"/>
      <c r="D240" s="9"/>
      <c r="E240" s="8"/>
      <c r="F240" s="8"/>
      <c r="G240" s="8"/>
      <c r="H240" s="8"/>
    </row>
    <row r="241" spans="3:8" x14ac:dyDescent="0.2">
      <c r="C241" s="8"/>
      <c r="D241" s="9"/>
      <c r="E241" s="8"/>
      <c r="F241" s="8"/>
      <c r="G241" s="8"/>
      <c r="H241" s="8"/>
    </row>
    <row r="242" spans="3:8" x14ac:dyDescent="0.2">
      <c r="C242" s="8"/>
      <c r="D242" s="9"/>
      <c r="E242" s="8"/>
      <c r="F242" s="8"/>
      <c r="G242" s="8"/>
      <c r="H242" s="8"/>
    </row>
    <row r="243" spans="3:8" x14ac:dyDescent="0.2">
      <c r="C243" s="8"/>
      <c r="D243" s="9"/>
      <c r="E243" s="8"/>
      <c r="F243" s="8"/>
      <c r="G243" s="8"/>
      <c r="H243" s="8"/>
    </row>
    <row r="244" spans="3:8" x14ac:dyDescent="0.2">
      <c r="C244" s="8"/>
      <c r="D244" s="9"/>
      <c r="E244" s="8"/>
      <c r="F244" s="8"/>
      <c r="G244" s="8"/>
      <c r="H244" s="8"/>
    </row>
    <row r="245" spans="3:8" x14ac:dyDescent="0.2">
      <c r="C245" s="8"/>
      <c r="D245" s="9"/>
      <c r="E245" s="8"/>
      <c r="F245" s="8"/>
      <c r="G245" s="8"/>
      <c r="H245" s="8"/>
    </row>
    <row r="246" spans="3:8" x14ac:dyDescent="0.2">
      <c r="C246" s="8"/>
      <c r="D246" s="9"/>
      <c r="E246" s="8"/>
      <c r="F246" s="8"/>
      <c r="G246" s="8"/>
      <c r="H246" s="8"/>
    </row>
    <row r="247" spans="3:8" x14ac:dyDescent="0.2">
      <c r="C247" s="8"/>
      <c r="D247" s="9"/>
      <c r="E247" s="8"/>
      <c r="F247" s="8"/>
      <c r="G247" s="8"/>
      <c r="H247" s="8"/>
    </row>
    <row r="248" spans="3:8" x14ac:dyDescent="0.2">
      <c r="C248" s="8"/>
      <c r="D248" s="9"/>
      <c r="E248" s="8"/>
      <c r="F248" s="8"/>
      <c r="G248" s="8"/>
      <c r="H248" s="8"/>
    </row>
    <row r="249" spans="3:8" x14ac:dyDescent="0.2">
      <c r="C249" s="8"/>
      <c r="D249" s="9"/>
      <c r="E249" s="8"/>
      <c r="F249" s="8"/>
      <c r="G249" s="8"/>
      <c r="H249" s="8"/>
    </row>
    <row r="250" spans="3:8" x14ac:dyDescent="0.2">
      <c r="C250" s="8"/>
      <c r="D250" s="9"/>
      <c r="E250" s="8"/>
      <c r="F250" s="8"/>
      <c r="G250" s="8"/>
      <c r="H250" s="8"/>
    </row>
    <row r="251" spans="3:8" x14ac:dyDescent="0.2">
      <c r="C251" s="8"/>
      <c r="D251" s="9"/>
      <c r="E251" s="8"/>
      <c r="F251" s="8"/>
      <c r="G251" s="8"/>
      <c r="H251" s="8"/>
    </row>
    <row r="252" spans="3:8" x14ac:dyDescent="0.2">
      <c r="C252" s="8"/>
      <c r="D252" s="9"/>
      <c r="E252" s="8"/>
      <c r="F252" s="8"/>
      <c r="G252" s="8"/>
      <c r="H252" s="8"/>
    </row>
    <row r="253" spans="3:8" x14ac:dyDescent="0.2">
      <c r="C253" s="8"/>
      <c r="D253" s="9"/>
      <c r="E253" s="8"/>
      <c r="F253" s="8"/>
      <c r="G253" s="8"/>
      <c r="H253" s="8"/>
    </row>
    <row r="254" spans="3:8" x14ac:dyDescent="0.2">
      <c r="C254" s="8"/>
      <c r="D254" s="9"/>
      <c r="E254" s="8"/>
      <c r="F254" s="8"/>
      <c r="G254" s="8"/>
      <c r="H254" s="8"/>
    </row>
    <row r="255" spans="3:8" x14ac:dyDescent="0.2">
      <c r="C255" s="8"/>
      <c r="D255" s="9"/>
      <c r="E255" s="8"/>
      <c r="F255" s="8"/>
      <c r="G255" s="8"/>
      <c r="H255" s="8"/>
    </row>
    <row r="256" spans="3:8" x14ac:dyDescent="0.2">
      <c r="C256" s="8"/>
      <c r="D256" s="9"/>
      <c r="E256" s="8"/>
      <c r="F256" s="8"/>
      <c r="G256" s="8"/>
      <c r="H256" s="8"/>
    </row>
    <row r="257" spans="3:8" x14ac:dyDescent="0.2">
      <c r="C257" s="8"/>
      <c r="D257" s="9"/>
      <c r="E257" s="8"/>
      <c r="F257" s="8"/>
      <c r="G257" s="8"/>
      <c r="H257" s="8"/>
    </row>
    <row r="258" spans="3:8" x14ac:dyDescent="0.2">
      <c r="C258" s="8"/>
      <c r="D258" s="9"/>
      <c r="E258" s="8"/>
      <c r="F258" s="8"/>
      <c r="G258" s="8"/>
      <c r="H258" s="8"/>
    </row>
    <row r="259" spans="3:8" x14ac:dyDescent="0.2">
      <c r="C259" s="8"/>
      <c r="D259" s="9"/>
      <c r="E259" s="8"/>
      <c r="F259" s="8"/>
      <c r="G259" s="8"/>
      <c r="H259" s="8"/>
    </row>
    <row r="260" spans="3:8" x14ac:dyDescent="0.2">
      <c r="C260" s="8"/>
      <c r="D260" s="9"/>
      <c r="E260" s="8"/>
      <c r="F260" s="8"/>
      <c r="G260" s="8"/>
      <c r="H260" s="8"/>
    </row>
    <row r="261" spans="3:8" x14ac:dyDescent="0.2">
      <c r="C261" s="8"/>
      <c r="D261" s="9"/>
      <c r="E261" s="8"/>
      <c r="F261" s="8"/>
      <c r="G261" s="8"/>
      <c r="H261" s="8"/>
    </row>
    <row r="262" spans="3:8" x14ac:dyDescent="0.2">
      <c r="C262" s="8"/>
      <c r="D262" s="9"/>
      <c r="E262" s="8"/>
      <c r="F262" s="8"/>
      <c r="G262" s="8"/>
      <c r="H262" s="8"/>
    </row>
    <row r="263" spans="3:8" x14ac:dyDescent="0.2">
      <c r="C263" s="8"/>
      <c r="D263" s="9"/>
      <c r="E263" s="8"/>
      <c r="F263" s="8"/>
      <c r="G263" s="8"/>
      <c r="H263" s="8"/>
    </row>
    <row r="264" spans="3:8" x14ac:dyDescent="0.2">
      <c r="C264" s="8"/>
      <c r="D264" s="9"/>
      <c r="E264" s="8"/>
      <c r="F264" s="8"/>
      <c r="G264" s="8"/>
      <c r="H264" s="8"/>
    </row>
    <row r="265" spans="3:8" x14ac:dyDescent="0.2">
      <c r="C265" s="8"/>
      <c r="D265" s="9"/>
      <c r="E265" s="8"/>
      <c r="F265" s="8"/>
      <c r="G265" s="8"/>
      <c r="H265" s="8"/>
    </row>
    <row r="266" spans="3:8" x14ac:dyDescent="0.2">
      <c r="C266" s="8"/>
      <c r="D266" s="9"/>
      <c r="E266" s="8"/>
      <c r="F266" s="8"/>
      <c r="G266" s="8"/>
      <c r="H266" s="8"/>
    </row>
    <row r="267" spans="3:8" x14ac:dyDescent="0.2">
      <c r="C267" s="8"/>
      <c r="D267" s="9"/>
      <c r="E267" s="8"/>
      <c r="F267" s="8"/>
      <c r="G267" s="8"/>
      <c r="H267" s="8"/>
    </row>
    <row r="268" spans="3:8" x14ac:dyDescent="0.2">
      <c r="C268" s="8"/>
      <c r="D268" s="9"/>
      <c r="E268" s="8"/>
      <c r="F268" s="8"/>
      <c r="G268" s="8"/>
      <c r="H268" s="8"/>
    </row>
    <row r="269" spans="3:8" x14ac:dyDescent="0.2">
      <c r="C269" s="8"/>
      <c r="D269" s="9"/>
      <c r="E269" s="8"/>
      <c r="F269" s="8"/>
      <c r="G269" s="8"/>
      <c r="H269" s="8"/>
    </row>
    <row r="270" spans="3:8" x14ac:dyDescent="0.2">
      <c r="C270" s="8"/>
      <c r="D270" s="9"/>
      <c r="E270" s="8"/>
      <c r="F270" s="8"/>
      <c r="G270" s="8"/>
      <c r="H270" s="8"/>
    </row>
    <row r="271" spans="3:8" x14ac:dyDescent="0.2">
      <c r="C271" s="8"/>
      <c r="D271" s="9"/>
      <c r="E271" s="8"/>
      <c r="F271" s="8"/>
      <c r="G271" s="8"/>
      <c r="H271" s="8"/>
    </row>
    <row r="272" spans="3:8" x14ac:dyDescent="0.2">
      <c r="C272" s="8"/>
      <c r="D272" s="9"/>
      <c r="E272" s="8"/>
      <c r="F272" s="8"/>
      <c r="G272" s="8"/>
      <c r="H272" s="8"/>
    </row>
    <row r="273" spans="3:8" x14ac:dyDescent="0.2">
      <c r="C273" s="8"/>
      <c r="D273" s="9"/>
      <c r="E273" s="8"/>
      <c r="F273" s="8"/>
      <c r="G273" s="8"/>
      <c r="H273" s="8"/>
    </row>
    <row r="274" spans="3:8" x14ac:dyDescent="0.2">
      <c r="C274" s="8"/>
      <c r="D274" s="9"/>
      <c r="E274" s="8"/>
      <c r="F274" s="8"/>
      <c r="G274" s="8"/>
      <c r="H274" s="8"/>
    </row>
    <row r="275" spans="3:8" x14ac:dyDescent="0.2">
      <c r="C275" s="8"/>
      <c r="D275" s="9"/>
      <c r="E275" s="8"/>
      <c r="F275" s="8"/>
      <c r="G275" s="8"/>
      <c r="H275" s="8"/>
    </row>
    <row r="276" spans="3:8" x14ac:dyDescent="0.2">
      <c r="C276" s="8"/>
      <c r="D276" s="9"/>
      <c r="E276" s="8"/>
      <c r="F276" s="8"/>
      <c r="G276" s="8"/>
      <c r="H276" s="8"/>
    </row>
    <row r="277" spans="3:8" x14ac:dyDescent="0.2">
      <c r="C277" s="8"/>
      <c r="D277" s="9"/>
      <c r="E277" s="8"/>
      <c r="F277" s="8"/>
      <c r="G277" s="8"/>
      <c r="H277" s="8"/>
    </row>
    <row r="278" spans="3:8" x14ac:dyDescent="0.2">
      <c r="C278" s="8"/>
      <c r="D278" s="9"/>
      <c r="E278" s="8"/>
      <c r="F278" s="8"/>
      <c r="G278" s="8"/>
      <c r="H278" s="8"/>
    </row>
    <row r="279" spans="3:8" x14ac:dyDescent="0.2">
      <c r="C279" s="8"/>
      <c r="D279" s="9"/>
      <c r="E279" s="8"/>
      <c r="F279" s="8"/>
      <c r="G279" s="8"/>
      <c r="H279" s="8"/>
    </row>
    <row r="280" spans="3:8" x14ac:dyDescent="0.2">
      <c r="C280" s="8"/>
      <c r="D280" s="9"/>
      <c r="E280" s="8"/>
      <c r="F280" s="8"/>
      <c r="G280" s="8"/>
      <c r="H280" s="8"/>
    </row>
    <row r="281" spans="3:8" x14ac:dyDescent="0.2">
      <c r="C281" s="8"/>
      <c r="D281" s="9"/>
      <c r="E281" s="8"/>
      <c r="F281" s="8"/>
      <c r="G281" s="8"/>
      <c r="H281" s="8"/>
    </row>
    <row r="282" spans="3:8" x14ac:dyDescent="0.2">
      <c r="C282" s="8"/>
      <c r="D282" s="9"/>
      <c r="E282" s="8"/>
      <c r="F282" s="8"/>
      <c r="G282" s="8"/>
      <c r="H282" s="8"/>
    </row>
    <row r="283" spans="3:8" x14ac:dyDescent="0.2">
      <c r="C283" s="8"/>
      <c r="D283" s="9"/>
      <c r="E283" s="8"/>
      <c r="F283" s="8"/>
      <c r="G283" s="8"/>
      <c r="H283" s="8"/>
    </row>
    <row r="284" spans="3:8" x14ac:dyDescent="0.2">
      <c r="C284" s="8"/>
      <c r="D284" s="9"/>
      <c r="E284" s="8"/>
      <c r="F284" s="8"/>
      <c r="G284" s="8"/>
      <c r="H284" s="8"/>
    </row>
    <row r="285" spans="3:8" x14ac:dyDescent="0.2">
      <c r="C285" s="8"/>
      <c r="D285" s="9"/>
      <c r="E285" s="8"/>
      <c r="F285" s="8"/>
      <c r="G285" s="8"/>
      <c r="H285" s="8"/>
    </row>
    <row r="286" spans="3:8" x14ac:dyDescent="0.2">
      <c r="C286" s="8"/>
      <c r="D286" s="9"/>
      <c r="E286" s="8"/>
      <c r="F286" s="8"/>
      <c r="G286" s="8"/>
      <c r="H286" s="8"/>
    </row>
    <row r="287" spans="3:8" x14ac:dyDescent="0.2">
      <c r="C287" s="8"/>
      <c r="D287" s="9"/>
      <c r="E287" s="8"/>
      <c r="F287" s="8"/>
      <c r="G287" s="8"/>
      <c r="H287" s="8"/>
    </row>
    <row r="288" spans="3:8" x14ac:dyDescent="0.2">
      <c r="C288" s="8"/>
      <c r="D288" s="9"/>
      <c r="E288" s="8"/>
      <c r="F288" s="8"/>
      <c r="G288" s="8"/>
      <c r="H288" s="8"/>
    </row>
    <row r="289" spans="3:8" x14ac:dyDescent="0.2">
      <c r="C289" s="8"/>
      <c r="D289" s="9"/>
      <c r="E289" s="8"/>
      <c r="F289" s="8"/>
      <c r="G289" s="8"/>
      <c r="H289" s="8"/>
    </row>
    <row r="290" spans="3:8" x14ac:dyDescent="0.2">
      <c r="C290" s="8"/>
      <c r="D290" s="9"/>
      <c r="E290" s="8"/>
      <c r="F290" s="8"/>
      <c r="G290" s="8"/>
      <c r="H290" s="8"/>
    </row>
    <row r="291" spans="3:8" x14ac:dyDescent="0.2">
      <c r="C291" s="8"/>
      <c r="D291" s="9"/>
      <c r="E291" s="8"/>
      <c r="F291" s="8"/>
      <c r="G291" s="8"/>
      <c r="H291" s="8"/>
    </row>
    <row r="292" spans="3:8" x14ac:dyDescent="0.2">
      <c r="C292" s="8"/>
      <c r="D292" s="9"/>
      <c r="E292" s="8"/>
      <c r="F292" s="8"/>
      <c r="G292" s="8"/>
      <c r="H292" s="8"/>
    </row>
    <row r="293" spans="3:8" x14ac:dyDescent="0.2">
      <c r="C293" s="8"/>
      <c r="D293" s="9"/>
      <c r="E293" s="8"/>
      <c r="F293" s="8"/>
      <c r="G293" s="8"/>
      <c r="H293" s="8"/>
    </row>
    <row r="294" spans="3:8" x14ac:dyDescent="0.2">
      <c r="C294" s="8"/>
      <c r="D294" s="9"/>
      <c r="E294" s="8"/>
      <c r="F294" s="8"/>
      <c r="G294" s="8"/>
      <c r="H294" s="8"/>
    </row>
    <row r="295" spans="3:8" x14ac:dyDescent="0.2">
      <c r="C295" s="8"/>
      <c r="D295" s="9"/>
      <c r="E295" s="8"/>
      <c r="F295" s="8"/>
      <c r="G295" s="8"/>
      <c r="H295" s="8"/>
    </row>
    <row r="296" spans="3:8" x14ac:dyDescent="0.2">
      <c r="C296" s="8"/>
      <c r="D296" s="9"/>
      <c r="E296" s="8"/>
      <c r="F296" s="8"/>
      <c r="G296" s="8"/>
      <c r="H296" s="8"/>
    </row>
    <row r="297" spans="3:8" x14ac:dyDescent="0.2">
      <c r="C297" s="8"/>
      <c r="D297" s="9"/>
      <c r="E297" s="8"/>
      <c r="F297" s="8"/>
      <c r="G297" s="8"/>
      <c r="H297" s="8"/>
    </row>
    <row r="298" spans="3:8" x14ac:dyDescent="0.2">
      <c r="C298" s="8"/>
      <c r="D298" s="9"/>
      <c r="E298" s="8"/>
      <c r="F298" s="8"/>
      <c r="G298" s="8"/>
      <c r="H298" s="8"/>
    </row>
    <row r="299" spans="3:8" x14ac:dyDescent="0.2">
      <c r="C299" s="8"/>
      <c r="D299" s="9"/>
      <c r="E299" s="8"/>
      <c r="F299" s="8"/>
      <c r="G299" s="8"/>
      <c r="H299" s="8"/>
    </row>
    <row r="300" spans="3:8" x14ac:dyDescent="0.2">
      <c r="C300" s="8"/>
      <c r="D300" s="9"/>
      <c r="E300" s="8"/>
      <c r="F300" s="8"/>
      <c r="G300" s="8"/>
      <c r="H300" s="8"/>
    </row>
    <row r="301" spans="3:8" x14ac:dyDescent="0.2">
      <c r="C301" s="8"/>
      <c r="D301" s="9"/>
      <c r="E301" s="8"/>
      <c r="F301" s="8"/>
      <c r="G301" s="8"/>
      <c r="H301" s="8"/>
    </row>
    <row r="302" spans="3:8" x14ac:dyDescent="0.2">
      <c r="C302" s="8"/>
      <c r="D302" s="9"/>
      <c r="E302" s="8"/>
      <c r="F302" s="8"/>
      <c r="G302" s="8"/>
      <c r="H302" s="8"/>
    </row>
    <row r="303" spans="3:8" x14ac:dyDescent="0.2">
      <c r="C303" s="8"/>
      <c r="D303" s="9"/>
      <c r="E303" s="8"/>
      <c r="F303" s="8"/>
      <c r="G303" s="8"/>
      <c r="H303" s="8"/>
    </row>
    <row r="304" spans="3:8" x14ac:dyDescent="0.2">
      <c r="C304" s="8"/>
      <c r="D304" s="9"/>
      <c r="E304" s="8"/>
      <c r="F304" s="8"/>
      <c r="G304" s="8"/>
      <c r="H304" s="8"/>
    </row>
    <row r="305" spans="3:8" x14ac:dyDescent="0.2">
      <c r="C305" s="8"/>
      <c r="D305" s="9"/>
      <c r="E305" s="8"/>
      <c r="F305" s="8"/>
      <c r="G305" s="8"/>
      <c r="H305" s="8"/>
    </row>
    <row r="306" spans="3:8" x14ac:dyDescent="0.2">
      <c r="C306" s="8"/>
      <c r="D306" s="9"/>
      <c r="E306" s="8"/>
      <c r="F306" s="8"/>
      <c r="G306" s="8"/>
      <c r="H306" s="8"/>
    </row>
    <row r="307" spans="3:8" x14ac:dyDescent="0.2">
      <c r="C307" s="8"/>
      <c r="D307" s="9"/>
      <c r="E307" s="8"/>
      <c r="F307" s="8"/>
      <c r="G307" s="8"/>
      <c r="H307" s="8"/>
    </row>
    <row r="308" spans="3:8" x14ac:dyDescent="0.2">
      <c r="C308" s="8"/>
      <c r="D308" s="9"/>
      <c r="E308" s="8"/>
      <c r="F308" s="8"/>
      <c r="G308" s="8"/>
      <c r="H308" s="8"/>
    </row>
    <row r="309" spans="3:8" x14ac:dyDescent="0.2">
      <c r="C309" s="8"/>
      <c r="D309" s="9"/>
      <c r="E309" s="8"/>
      <c r="F309" s="8"/>
      <c r="G309" s="8"/>
      <c r="H309" s="8"/>
    </row>
    <row r="310" spans="3:8" x14ac:dyDescent="0.2">
      <c r="C310" s="8"/>
      <c r="D310" s="9"/>
      <c r="E310" s="8"/>
      <c r="F310" s="8"/>
      <c r="G310" s="8"/>
      <c r="H310" s="8"/>
    </row>
    <row r="311" spans="3:8" x14ac:dyDescent="0.2">
      <c r="C311" s="8"/>
      <c r="D311" s="9"/>
      <c r="E311" s="8"/>
      <c r="F311" s="8"/>
      <c r="G311" s="8"/>
      <c r="H311" s="8"/>
    </row>
    <row r="312" spans="3:8" x14ac:dyDescent="0.2">
      <c r="C312" s="8"/>
      <c r="D312" s="9"/>
      <c r="E312" s="8"/>
      <c r="F312" s="8"/>
      <c r="G312" s="8"/>
      <c r="H312" s="8"/>
    </row>
    <row r="313" spans="3:8" x14ac:dyDescent="0.2">
      <c r="C313" s="8"/>
      <c r="D313" s="9"/>
      <c r="E313" s="8"/>
      <c r="F313" s="8"/>
      <c r="G313" s="8"/>
      <c r="H313" s="8"/>
    </row>
    <row r="314" spans="3:8" x14ac:dyDescent="0.2">
      <c r="C314" s="8"/>
      <c r="D314" s="9"/>
      <c r="E314" s="8"/>
      <c r="F314" s="8"/>
      <c r="G314" s="8"/>
      <c r="H314" s="8"/>
    </row>
    <row r="315" spans="3:8" x14ac:dyDescent="0.2">
      <c r="C315" s="8"/>
      <c r="D315" s="9"/>
      <c r="E315" s="8"/>
      <c r="F315" s="8"/>
      <c r="G315" s="8"/>
      <c r="H315" s="8"/>
    </row>
    <row r="316" spans="3:8" x14ac:dyDescent="0.2">
      <c r="C316" s="8"/>
      <c r="D316" s="9"/>
      <c r="E316" s="8"/>
      <c r="F316" s="8"/>
      <c r="G316" s="8"/>
      <c r="H316" s="8"/>
    </row>
    <row r="317" spans="3:8" x14ac:dyDescent="0.2">
      <c r="C317" s="8"/>
      <c r="D317" s="9"/>
      <c r="E317" s="8"/>
      <c r="F317" s="8"/>
      <c r="G317" s="8"/>
      <c r="H317" s="8"/>
    </row>
    <row r="318" spans="3:8" x14ac:dyDescent="0.2">
      <c r="C318" s="8"/>
      <c r="D318" s="9"/>
      <c r="E318" s="8"/>
      <c r="F318" s="8"/>
      <c r="G318" s="8"/>
      <c r="H318" s="8"/>
    </row>
    <row r="319" spans="3:8" x14ac:dyDescent="0.2">
      <c r="C319" s="8"/>
      <c r="D319" s="9"/>
      <c r="E319" s="8"/>
      <c r="F319" s="8"/>
      <c r="G319" s="8"/>
      <c r="H319" s="8"/>
    </row>
    <row r="320" spans="3:8" x14ac:dyDescent="0.2">
      <c r="C320" s="8"/>
      <c r="D320" s="9"/>
      <c r="E320" s="8"/>
      <c r="F320" s="8"/>
      <c r="G320" s="8"/>
      <c r="H320" s="8"/>
    </row>
    <row r="321" spans="3:8" x14ac:dyDescent="0.2">
      <c r="C321" s="8"/>
      <c r="D321" s="9"/>
      <c r="E321" s="8"/>
      <c r="F321" s="8"/>
      <c r="G321" s="8"/>
      <c r="H321" s="8"/>
    </row>
    <row r="322" spans="3:8" x14ac:dyDescent="0.2">
      <c r="C322" s="8"/>
      <c r="D322" s="9"/>
      <c r="E322" s="8"/>
      <c r="F322" s="8"/>
      <c r="G322" s="8"/>
      <c r="H322" s="8"/>
    </row>
    <row r="323" spans="3:8" x14ac:dyDescent="0.2">
      <c r="C323" s="8"/>
      <c r="D323" s="9"/>
      <c r="E323" s="8"/>
      <c r="F323" s="8"/>
      <c r="G323" s="8"/>
      <c r="H323" s="8"/>
    </row>
    <row r="324" spans="3:8" x14ac:dyDescent="0.2">
      <c r="C324" s="8"/>
      <c r="D324" s="9"/>
      <c r="E324" s="8"/>
      <c r="F324" s="8"/>
      <c r="G324" s="8"/>
      <c r="H324" s="8"/>
    </row>
    <row r="325" spans="3:8" x14ac:dyDescent="0.2">
      <c r="C325" s="8"/>
      <c r="D325" s="9"/>
      <c r="E325" s="8"/>
      <c r="F325" s="8"/>
      <c r="G325" s="8"/>
      <c r="H325" s="8"/>
    </row>
    <row r="326" spans="3:8" x14ac:dyDescent="0.2">
      <c r="C326" s="8"/>
      <c r="D326" s="9"/>
      <c r="E326" s="8"/>
      <c r="F326" s="8"/>
      <c r="G326" s="8"/>
      <c r="H326" s="8"/>
    </row>
    <row r="327" spans="3:8" x14ac:dyDescent="0.2">
      <c r="C327" s="8"/>
      <c r="D327" s="9"/>
      <c r="E327" s="8"/>
      <c r="F327" s="8"/>
      <c r="G327" s="8"/>
      <c r="H327" s="8"/>
    </row>
    <row r="328" spans="3:8" x14ac:dyDescent="0.2">
      <c r="C328" s="8"/>
      <c r="D328" s="9"/>
      <c r="E328" s="8"/>
      <c r="F328" s="8"/>
      <c r="G328" s="8"/>
      <c r="H328" s="8"/>
    </row>
    <row r="329" spans="3:8" x14ac:dyDescent="0.2">
      <c r="C329" s="8"/>
      <c r="D329" s="9"/>
      <c r="E329" s="8"/>
      <c r="F329" s="8"/>
      <c r="G329" s="8"/>
      <c r="H329" s="8"/>
    </row>
    <row r="330" spans="3:8" x14ac:dyDescent="0.2">
      <c r="C330" s="8"/>
      <c r="D330" s="9"/>
      <c r="E330" s="8"/>
      <c r="F330" s="8"/>
      <c r="G330" s="8"/>
      <c r="H330" s="8"/>
    </row>
    <row r="331" spans="3:8" x14ac:dyDescent="0.2">
      <c r="C331" s="8"/>
      <c r="D331" s="9"/>
      <c r="E331" s="8"/>
      <c r="F331" s="8"/>
      <c r="G331" s="8"/>
      <c r="H331" s="8"/>
    </row>
    <row r="332" spans="3:8" x14ac:dyDescent="0.2">
      <c r="C332" s="8"/>
      <c r="D332" s="9"/>
      <c r="E332" s="8"/>
      <c r="F332" s="8"/>
      <c r="G332" s="8"/>
      <c r="H332" s="8"/>
    </row>
    <row r="333" spans="3:8" x14ac:dyDescent="0.2">
      <c r="C333" s="8"/>
      <c r="D333" s="9"/>
      <c r="E333" s="8"/>
      <c r="F333" s="8"/>
      <c r="G333" s="8"/>
      <c r="H333" s="8"/>
    </row>
    <row r="334" spans="3:8" x14ac:dyDescent="0.2">
      <c r="C334" s="8"/>
      <c r="D334" s="9"/>
      <c r="E334" s="8"/>
      <c r="F334" s="8"/>
      <c r="G334" s="8"/>
      <c r="H334" s="8"/>
    </row>
    <row r="335" spans="3:8" x14ac:dyDescent="0.2">
      <c r="C335" s="8"/>
      <c r="D335" s="9"/>
      <c r="E335" s="8"/>
      <c r="F335" s="8"/>
      <c r="G335" s="8"/>
      <c r="H335" s="8"/>
    </row>
    <row r="336" spans="3:8" x14ac:dyDescent="0.2">
      <c r="C336" s="8"/>
      <c r="D336" s="9"/>
      <c r="E336" s="8"/>
      <c r="F336" s="8"/>
      <c r="G336" s="8"/>
      <c r="H336" s="8"/>
    </row>
    <row r="337" spans="3:8" x14ac:dyDescent="0.2">
      <c r="C337" s="8"/>
      <c r="D337" s="9"/>
      <c r="E337" s="8"/>
      <c r="F337" s="8"/>
      <c r="G337" s="8"/>
      <c r="H337" s="8"/>
    </row>
    <row r="338" spans="3:8" x14ac:dyDescent="0.2">
      <c r="C338" s="8"/>
      <c r="D338" s="9"/>
      <c r="E338" s="8"/>
      <c r="F338" s="8"/>
      <c r="G338" s="8"/>
      <c r="H338" s="8"/>
    </row>
    <row r="339" spans="3:8" x14ac:dyDescent="0.2">
      <c r="C339" s="8"/>
      <c r="D339" s="9"/>
      <c r="E339" s="8"/>
      <c r="F339" s="8"/>
      <c r="G339" s="8"/>
      <c r="H339" s="8"/>
    </row>
    <row r="340" spans="3:8" x14ac:dyDescent="0.2">
      <c r="C340" s="8"/>
      <c r="D340" s="9"/>
      <c r="E340" s="8"/>
      <c r="F340" s="8"/>
      <c r="G340" s="8"/>
      <c r="H340" s="8"/>
    </row>
    <row r="341" spans="3:8" x14ac:dyDescent="0.2">
      <c r="C341" s="8"/>
      <c r="D341" s="9"/>
      <c r="E341" s="8"/>
      <c r="F341" s="8"/>
      <c r="G341" s="8"/>
      <c r="H341" s="8"/>
    </row>
    <row r="342" spans="3:8" x14ac:dyDescent="0.2">
      <c r="C342" s="8"/>
      <c r="D342" s="9"/>
      <c r="E342" s="8"/>
      <c r="F342" s="8"/>
      <c r="G342" s="8"/>
      <c r="H342" s="8"/>
    </row>
    <row r="343" spans="3:8" x14ac:dyDescent="0.2">
      <c r="C343" s="8"/>
      <c r="D343" s="9"/>
      <c r="E343" s="8"/>
      <c r="F343" s="8"/>
      <c r="G343" s="8"/>
      <c r="H343" s="8"/>
    </row>
    <row r="344" spans="3:8" x14ac:dyDescent="0.2">
      <c r="C344" s="8"/>
      <c r="D344" s="9"/>
      <c r="E344" s="8"/>
      <c r="F344" s="8"/>
      <c r="G344" s="8"/>
      <c r="H344" s="8"/>
    </row>
    <row r="345" spans="3:8" x14ac:dyDescent="0.2">
      <c r="C345" s="8"/>
      <c r="D345" s="9"/>
      <c r="E345" s="8"/>
      <c r="F345" s="8"/>
      <c r="G345" s="8"/>
      <c r="H345" s="8"/>
    </row>
    <row r="346" spans="3:8" x14ac:dyDescent="0.2">
      <c r="C346" s="8"/>
      <c r="D346" s="9"/>
      <c r="E346" s="8"/>
      <c r="F346" s="8"/>
      <c r="G346" s="8"/>
      <c r="H346" s="8"/>
    </row>
    <row r="347" spans="3:8" x14ac:dyDescent="0.2">
      <c r="C347" s="8"/>
      <c r="D347" s="9"/>
      <c r="E347" s="8"/>
      <c r="F347" s="8"/>
      <c r="G347" s="8"/>
      <c r="H347" s="8"/>
    </row>
    <row r="348" spans="3:8" x14ac:dyDescent="0.2">
      <c r="C348" s="8"/>
      <c r="D348" s="9"/>
      <c r="E348" s="8"/>
      <c r="F348" s="8"/>
      <c r="G348" s="8"/>
      <c r="H348" s="8"/>
    </row>
    <row r="349" spans="3:8" x14ac:dyDescent="0.2">
      <c r="C349" s="8"/>
      <c r="D349" s="9"/>
      <c r="E349" s="8"/>
      <c r="F349" s="8"/>
      <c r="G349" s="8"/>
      <c r="H349" s="8"/>
    </row>
    <row r="350" spans="3:8" x14ac:dyDescent="0.2">
      <c r="C350" s="8"/>
      <c r="D350" s="9"/>
      <c r="E350" s="8"/>
      <c r="F350" s="8"/>
      <c r="G350" s="8"/>
      <c r="H350" s="8"/>
    </row>
    <row r="351" spans="3:8" x14ac:dyDescent="0.2">
      <c r="C351" s="8"/>
      <c r="D351" s="9"/>
      <c r="E351" s="8"/>
      <c r="F351" s="8"/>
      <c r="G351" s="8"/>
      <c r="H351" s="8"/>
    </row>
    <row r="352" spans="3:8" x14ac:dyDescent="0.2">
      <c r="C352" s="8"/>
      <c r="D352" s="9"/>
      <c r="E352" s="8"/>
      <c r="F352" s="8"/>
      <c r="G352" s="8"/>
      <c r="H352" s="8"/>
    </row>
    <row r="353" spans="3:8" x14ac:dyDescent="0.2">
      <c r="C353" s="8"/>
      <c r="D353" s="9"/>
      <c r="E353" s="8"/>
      <c r="F353" s="8"/>
      <c r="G353" s="8"/>
      <c r="H353" s="8"/>
    </row>
    <row r="354" spans="3:8" x14ac:dyDescent="0.2">
      <c r="C354" s="8"/>
      <c r="D354" s="9"/>
      <c r="E354" s="8"/>
      <c r="F354" s="8"/>
      <c r="G354" s="8"/>
      <c r="H354" s="8"/>
    </row>
    <row r="355" spans="3:8" x14ac:dyDescent="0.2">
      <c r="C355" s="8"/>
      <c r="D355" s="9"/>
      <c r="E355" s="8"/>
      <c r="F355" s="8"/>
      <c r="G355" s="8"/>
      <c r="H355" s="8"/>
    </row>
    <row r="356" spans="3:8" x14ac:dyDescent="0.2">
      <c r="C356" s="8"/>
      <c r="D356" s="9"/>
      <c r="E356" s="8"/>
      <c r="F356" s="8"/>
      <c r="G356" s="8"/>
      <c r="H356" s="8"/>
    </row>
    <row r="357" spans="3:8" x14ac:dyDescent="0.2">
      <c r="C357" s="8"/>
      <c r="D357" s="9"/>
      <c r="E357" s="8"/>
      <c r="F357" s="8"/>
      <c r="G357" s="8"/>
      <c r="H357" s="8"/>
    </row>
    <row r="358" spans="3:8" x14ac:dyDescent="0.2">
      <c r="C358" s="8"/>
      <c r="D358" s="9"/>
      <c r="E358" s="8"/>
      <c r="F358" s="8"/>
      <c r="G358" s="8"/>
      <c r="H358" s="8"/>
    </row>
    <row r="359" spans="3:8" x14ac:dyDescent="0.2">
      <c r="C359" s="8"/>
      <c r="D359" s="9"/>
      <c r="E359" s="8"/>
      <c r="F359" s="8"/>
      <c r="G359" s="8"/>
      <c r="H359" s="8"/>
    </row>
    <row r="360" spans="3:8" x14ac:dyDescent="0.2">
      <c r="C360" s="8"/>
      <c r="D360" s="9"/>
      <c r="E360" s="8"/>
      <c r="F360" s="8"/>
      <c r="G360" s="8"/>
      <c r="H360" s="8"/>
    </row>
    <row r="361" spans="3:8" x14ac:dyDescent="0.2">
      <c r="C361" s="8"/>
      <c r="D361" s="9"/>
      <c r="E361" s="8"/>
      <c r="F361" s="8"/>
      <c r="G361" s="8"/>
      <c r="H361" s="8"/>
    </row>
    <row r="362" spans="3:8" x14ac:dyDescent="0.2">
      <c r="C362" s="8"/>
      <c r="D362" s="9"/>
      <c r="E362" s="8"/>
      <c r="F362" s="8"/>
      <c r="G362" s="8"/>
      <c r="H362" s="8"/>
    </row>
    <row r="363" spans="3:8" x14ac:dyDescent="0.2">
      <c r="C363" s="8"/>
      <c r="D363" s="9"/>
      <c r="E363" s="8"/>
      <c r="F363" s="8"/>
      <c r="G363" s="8"/>
      <c r="H363" s="8"/>
    </row>
    <row r="364" spans="3:8" x14ac:dyDescent="0.2">
      <c r="C364" s="8"/>
      <c r="D364" s="9"/>
      <c r="E364" s="8"/>
      <c r="F364" s="8"/>
      <c r="G364" s="8"/>
      <c r="H364" s="8"/>
    </row>
    <row r="365" spans="3:8" x14ac:dyDescent="0.2">
      <c r="C365" s="8"/>
      <c r="D365" s="9"/>
      <c r="E365" s="8"/>
      <c r="F365" s="8"/>
      <c r="G365" s="8"/>
      <c r="H365" s="8"/>
    </row>
    <row r="366" spans="3:8" x14ac:dyDescent="0.2">
      <c r="C366" s="8"/>
      <c r="D366" s="9"/>
      <c r="E366" s="8"/>
      <c r="F366" s="8"/>
      <c r="G366" s="8"/>
      <c r="H366" s="8"/>
    </row>
    <row r="367" spans="3:8" x14ac:dyDescent="0.2">
      <c r="C367" s="8"/>
      <c r="D367" s="9"/>
      <c r="E367" s="8"/>
      <c r="F367" s="8"/>
      <c r="G367" s="8"/>
      <c r="H367" s="8"/>
    </row>
    <row r="368" spans="3:8" x14ac:dyDescent="0.2">
      <c r="C368" s="8"/>
      <c r="D368" s="9"/>
      <c r="E368" s="8"/>
      <c r="F368" s="8"/>
      <c r="G368" s="8"/>
      <c r="H368" s="8"/>
    </row>
    <row r="369" spans="3:8" x14ac:dyDescent="0.2">
      <c r="C369" s="8"/>
      <c r="D369" s="9"/>
      <c r="E369" s="8"/>
      <c r="F369" s="8"/>
      <c r="G369" s="8"/>
      <c r="H369" s="8"/>
    </row>
    <row r="370" spans="3:8" x14ac:dyDescent="0.2">
      <c r="C370" s="8"/>
      <c r="D370" s="9"/>
      <c r="E370" s="8"/>
      <c r="F370" s="8"/>
      <c r="G370" s="8"/>
      <c r="H370" s="8"/>
    </row>
    <row r="371" spans="3:8" x14ac:dyDescent="0.2">
      <c r="C371" s="8"/>
      <c r="D371" s="9"/>
      <c r="E371" s="8"/>
      <c r="F371" s="8"/>
      <c r="G371" s="8"/>
      <c r="H371" s="8"/>
    </row>
    <row r="372" spans="3:8" x14ac:dyDescent="0.2">
      <c r="C372" s="8"/>
      <c r="D372" s="9"/>
      <c r="E372" s="8"/>
      <c r="F372" s="8"/>
      <c r="G372" s="8"/>
      <c r="H372" s="8"/>
    </row>
    <row r="373" spans="3:8" x14ac:dyDescent="0.2">
      <c r="C373" s="8"/>
      <c r="D373" s="9"/>
      <c r="E373" s="8"/>
      <c r="F373" s="8"/>
      <c r="G373" s="8"/>
      <c r="H373" s="8"/>
    </row>
    <row r="374" spans="3:8" x14ac:dyDescent="0.2">
      <c r="C374" s="8"/>
      <c r="D374" s="9"/>
      <c r="E374" s="8"/>
      <c r="F374" s="8"/>
      <c r="G374" s="8"/>
      <c r="H374" s="8"/>
    </row>
    <row r="375" spans="3:8" x14ac:dyDescent="0.2">
      <c r="C375" s="8"/>
      <c r="D375" s="9"/>
      <c r="E375" s="8"/>
      <c r="F375" s="8"/>
      <c r="G375" s="8"/>
      <c r="H375" s="8"/>
    </row>
    <row r="376" spans="3:8" x14ac:dyDescent="0.2">
      <c r="C376" s="8"/>
      <c r="D376" s="9"/>
      <c r="E376" s="8"/>
      <c r="F376" s="8"/>
      <c r="G376" s="8"/>
      <c r="H376" s="8"/>
    </row>
    <row r="377" spans="3:8" x14ac:dyDescent="0.2">
      <c r="C377" s="8"/>
      <c r="D377" s="9"/>
      <c r="E377" s="8"/>
      <c r="F377" s="8"/>
      <c r="G377" s="8"/>
      <c r="H377" s="8"/>
    </row>
    <row r="378" spans="3:8" x14ac:dyDescent="0.2">
      <c r="C378" s="8"/>
      <c r="D378" s="9"/>
      <c r="E378" s="8"/>
      <c r="F378" s="8"/>
      <c r="G378" s="8"/>
      <c r="H378" s="8"/>
    </row>
    <row r="379" spans="3:8" x14ac:dyDescent="0.2">
      <c r="C379" s="8"/>
      <c r="D379" s="9"/>
      <c r="E379" s="8"/>
      <c r="F379" s="8"/>
      <c r="G379" s="8"/>
      <c r="H379" s="8"/>
    </row>
    <row r="380" spans="3:8" x14ac:dyDescent="0.2">
      <c r="C380" s="8"/>
      <c r="D380" s="9"/>
      <c r="E380" s="8"/>
      <c r="F380" s="8"/>
      <c r="G380" s="8"/>
      <c r="H380" s="8"/>
    </row>
    <row r="381" spans="3:8" x14ac:dyDescent="0.2">
      <c r="C381" s="8"/>
      <c r="D381" s="9"/>
      <c r="E381" s="8"/>
      <c r="F381" s="8"/>
      <c r="G381" s="8"/>
      <c r="H381" s="8"/>
    </row>
    <row r="382" spans="3:8" x14ac:dyDescent="0.2">
      <c r="C382" s="8"/>
      <c r="D382" s="9"/>
      <c r="E382" s="8"/>
      <c r="F382" s="8"/>
      <c r="G382" s="8"/>
      <c r="H382" s="8"/>
    </row>
    <row r="383" spans="3:8" x14ac:dyDescent="0.2">
      <c r="C383" s="8"/>
      <c r="D383" s="9"/>
      <c r="E383" s="8"/>
      <c r="F383" s="8"/>
      <c r="G383" s="8"/>
      <c r="H383" s="8"/>
    </row>
    <row r="384" spans="3:8" x14ac:dyDescent="0.2">
      <c r="C384" s="8"/>
      <c r="D384" s="9"/>
      <c r="E384" s="8"/>
      <c r="F384" s="8"/>
      <c r="G384" s="8"/>
      <c r="H384" s="8"/>
    </row>
    <row r="385" spans="3:8" x14ac:dyDescent="0.2">
      <c r="C385" s="8"/>
      <c r="D385" s="9"/>
      <c r="E385" s="8"/>
      <c r="F385" s="8"/>
      <c r="G385" s="8"/>
      <c r="H385" s="8"/>
    </row>
    <row r="386" spans="3:8" x14ac:dyDescent="0.2">
      <c r="C386" s="8"/>
      <c r="D386" s="9"/>
      <c r="E386" s="8"/>
      <c r="F386" s="8"/>
      <c r="G386" s="8"/>
      <c r="H386" s="8"/>
    </row>
    <row r="387" spans="3:8" x14ac:dyDescent="0.2">
      <c r="C387" s="8"/>
      <c r="D387" s="9"/>
      <c r="E387" s="8"/>
      <c r="F387" s="8"/>
      <c r="G387" s="8"/>
      <c r="H387" s="8"/>
    </row>
    <row r="388" spans="3:8" x14ac:dyDescent="0.2">
      <c r="C388" s="8"/>
      <c r="D388" s="9"/>
      <c r="E388" s="8"/>
      <c r="F388" s="8"/>
      <c r="G388" s="8"/>
      <c r="H388" s="8"/>
    </row>
    <row r="389" spans="3:8" x14ac:dyDescent="0.2">
      <c r="C389" s="8"/>
      <c r="D389" s="9"/>
      <c r="E389" s="8"/>
      <c r="F389" s="8"/>
      <c r="G389" s="8"/>
      <c r="H389" s="8"/>
    </row>
    <row r="390" spans="3:8" x14ac:dyDescent="0.2">
      <c r="C390" s="8"/>
      <c r="D390" s="9"/>
      <c r="E390" s="8"/>
      <c r="F390" s="8"/>
      <c r="G390" s="8"/>
      <c r="H390" s="8"/>
    </row>
    <row r="391" spans="3:8" x14ac:dyDescent="0.2">
      <c r="C391" s="8"/>
      <c r="D391" s="9"/>
      <c r="E391" s="8"/>
      <c r="F391" s="8"/>
      <c r="G391" s="8"/>
      <c r="H391" s="8"/>
    </row>
    <row r="392" spans="3:8" x14ac:dyDescent="0.2">
      <c r="C392" s="8"/>
      <c r="D392" s="9"/>
      <c r="E392" s="8"/>
      <c r="F392" s="8"/>
      <c r="G392" s="8"/>
      <c r="H392" s="8"/>
    </row>
    <row r="393" spans="3:8" x14ac:dyDescent="0.2">
      <c r="C393" s="8"/>
      <c r="D393" s="9"/>
      <c r="E393" s="8"/>
      <c r="F393" s="8"/>
      <c r="G393" s="8"/>
      <c r="H393" s="8"/>
    </row>
    <row r="394" spans="3:8" x14ac:dyDescent="0.2">
      <c r="C394" s="8"/>
      <c r="D394" s="9"/>
      <c r="E394" s="8"/>
      <c r="F394" s="8"/>
      <c r="G394" s="8"/>
      <c r="H394" s="8"/>
    </row>
    <row r="395" spans="3:8" x14ac:dyDescent="0.2">
      <c r="C395" s="8"/>
      <c r="D395" s="9"/>
      <c r="E395" s="8"/>
      <c r="F395" s="8"/>
      <c r="G395" s="8"/>
      <c r="H395" s="8"/>
    </row>
    <row r="396" spans="3:8" x14ac:dyDescent="0.2">
      <c r="C396" s="8"/>
      <c r="D396" s="9"/>
      <c r="E396" s="8"/>
      <c r="F396" s="8"/>
      <c r="G396" s="8"/>
      <c r="H396" s="8"/>
    </row>
    <row r="397" spans="3:8" x14ac:dyDescent="0.2">
      <c r="C397" s="8"/>
      <c r="D397" s="9"/>
      <c r="E397" s="8"/>
      <c r="F397" s="8"/>
      <c r="G397" s="8"/>
      <c r="H397" s="8"/>
    </row>
    <row r="398" spans="3:8" x14ac:dyDescent="0.2">
      <c r="C398" s="8"/>
      <c r="D398" s="9"/>
      <c r="E398" s="8"/>
      <c r="F398" s="8"/>
      <c r="G398" s="8"/>
      <c r="H398" s="8"/>
    </row>
    <row r="399" spans="3:8" x14ac:dyDescent="0.2">
      <c r="C399" s="8"/>
      <c r="D399" s="9"/>
      <c r="E399" s="8"/>
      <c r="F399" s="8"/>
      <c r="G399" s="8"/>
      <c r="H399" s="8"/>
    </row>
    <row r="400" spans="3:8" x14ac:dyDescent="0.2">
      <c r="C400" s="8"/>
      <c r="D400" s="9"/>
      <c r="E400" s="8"/>
      <c r="F400" s="8"/>
      <c r="G400" s="8"/>
      <c r="H400" s="8"/>
    </row>
    <row r="401" spans="3:8" x14ac:dyDescent="0.2">
      <c r="C401" s="8"/>
      <c r="D401" s="9"/>
      <c r="E401" s="8"/>
      <c r="F401" s="8"/>
      <c r="G401" s="8"/>
      <c r="H401" s="8"/>
    </row>
    <row r="402" spans="3:8" x14ac:dyDescent="0.2">
      <c r="C402" s="8"/>
      <c r="D402" s="9"/>
      <c r="E402" s="8"/>
      <c r="F402" s="8"/>
      <c r="G402" s="8"/>
      <c r="H402" s="8"/>
    </row>
    <row r="403" spans="3:8" x14ac:dyDescent="0.2">
      <c r="C403" s="8"/>
      <c r="D403" s="9"/>
      <c r="E403" s="8"/>
      <c r="F403" s="8"/>
      <c r="G403" s="8"/>
      <c r="H403" s="8"/>
    </row>
    <row r="404" spans="3:8" x14ac:dyDescent="0.2">
      <c r="C404" s="8"/>
      <c r="D404" s="9"/>
      <c r="E404" s="8"/>
      <c r="F404" s="8"/>
      <c r="G404" s="8"/>
      <c r="H404" s="8"/>
    </row>
    <row r="405" spans="3:8" x14ac:dyDescent="0.2">
      <c r="C405" s="8"/>
      <c r="D405" s="9"/>
      <c r="E405" s="8"/>
      <c r="F405" s="8"/>
      <c r="G405" s="8"/>
      <c r="H405" s="8"/>
    </row>
    <row r="406" spans="3:8" x14ac:dyDescent="0.2">
      <c r="C406" s="8"/>
      <c r="D406" s="9"/>
      <c r="E406" s="8"/>
      <c r="F406" s="8"/>
      <c r="G406" s="8"/>
      <c r="H406" s="8"/>
    </row>
    <row r="407" spans="3:8" x14ac:dyDescent="0.2">
      <c r="C407" s="8"/>
      <c r="D407" s="9"/>
      <c r="E407" s="8"/>
      <c r="F407" s="8"/>
      <c r="G407" s="8"/>
      <c r="H407" s="8"/>
    </row>
    <row r="408" spans="3:8" x14ac:dyDescent="0.2">
      <c r="C408" s="8"/>
      <c r="D408" s="9"/>
      <c r="E408" s="8"/>
      <c r="F408" s="8"/>
      <c r="G408" s="8"/>
      <c r="H408" s="8"/>
    </row>
    <row r="409" spans="3:8" x14ac:dyDescent="0.2">
      <c r="C409" s="8"/>
      <c r="D409" s="9"/>
      <c r="E409" s="8"/>
      <c r="F409" s="8"/>
      <c r="G409" s="8"/>
      <c r="H409" s="8"/>
    </row>
    <row r="410" spans="3:8" x14ac:dyDescent="0.2">
      <c r="C410" s="8"/>
      <c r="D410" s="9"/>
      <c r="E410" s="8"/>
      <c r="F410" s="8"/>
      <c r="G410" s="8"/>
      <c r="H410" s="8"/>
    </row>
    <row r="411" spans="3:8" x14ac:dyDescent="0.2">
      <c r="C411" s="8"/>
      <c r="D411" s="9"/>
      <c r="E411" s="8"/>
      <c r="F411" s="8"/>
      <c r="G411" s="8"/>
      <c r="H411" s="8"/>
    </row>
    <row r="412" spans="3:8" x14ac:dyDescent="0.2">
      <c r="C412" s="8"/>
      <c r="D412" s="9"/>
      <c r="E412" s="8"/>
      <c r="F412" s="8"/>
      <c r="G412" s="8"/>
      <c r="H412" s="8"/>
    </row>
    <row r="413" spans="3:8" x14ac:dyDescent="0.2">
      <c r="C413" s="8"/>
      <c r="D413" s="9"/>
      <c r="E413" s="8"/>
      <c r="F413" s="8"/>
      <c r="G413" s="8"/>
      <c r="H413" s="8"/>
    </row>
    <row r="414" spans="3:8" x14ac:dyDescent="0.2">
      <c r="C414" s="8"/>
      <c r="D414" s="9"/>
      <c r="E414" s="8"/>
      <c r="F414" s="8"/>
      <c r="G414" s="8"/>
      <c r="H414" s="8"/>
    </row>
    <row r="415" spans="3:8" x14ac:dyDescent="0.2">
      <c r="C415" s="8"/>
      <c r="D415" s="9"/>
      <c r="E415" s="8"/>
      <c r="F415" s="8"/>
      <c r="G415" s="8"/>
      <c r="H415" s="8"/>
    </row>
    <row r="416" spans="3:8" x14ac:dyDescent="0.2">
      <c r="C416" s="8"/>
      <c r="D416" s="9"/>
      <c r="E416" s="8"/>
      <c r="F416" s="8"/>
      <c r="G416" s="8"/>
      <c r="H416" s="8"/>
    </row>
    <row r="417" spans="3:8" x14ac:dyDescent="0.2">
      <c r="C417" s="8"/>
      <c r="D417" s="9"/>
      <c r="E417" s="8"/>
      <c r="F417" s="8"/>
      <c r="G417" s="8"/>
      <c r="H417" s="8"/>
    </row>
    <row r="418" spans="3:8" x14ac:dyDescent="0.2">
      <c r="C418" s="8"/>
      <c r="D418" s="9"/>
      <c r="E418" s="8"/>
      <c r="F418" s="8"/>
      <c r="G418" s="8"/>
      <c r="H418" s="8"/>
    </row>
    <row r="419" spans="3:8" x14ac:dyDescent="0.2">
      <c r="C419" s="8"/>
      <c r="D419" s="9"/>
      <c r="E419" s="8"/>
      <c r="F419" s="8"/>
      <c r="G419" s="8"/>
      <c r="H419" s="8"/>
    </row>
    <row r="420" spans="3:8" x14ac:dyDescent="0.2">
      <c r="C420" s="8"/>
      <c r="D420" s="9"/>
      <c r="E420" s="8"/>
      <c r="F420" s="8"/>
      <c r="G420" s="8"/>
      <c r="H420" s="8"/>
    </row>
    <row r="421" spans="3:8" x14ac:dyDescent="0.2">
      <c r="C421" s="8"/>
      <c r="D421" s="9"/>
      <c r="E421" s="8"/>
      <c r="F421" s="8"/>
      <c r="G421" s="8"/>
      <c r="H421" s="8"/>
    </row>
    <row r="422" spans="3:8" x14ac:dyDescent="0.2">
      <c r="C422" s="8"/>
      <c r="D422" s="9"/>
      <c r="E422" s="8"/>
      <c r="F422" s="8"/>
      <c r="G422" s="8"/>
      <c r="H422" s="8"/>
    </row>
    <row r="423" spans="3:8" x14ac:dyDescent="0.2">
      <c r="C423" s="8"/>
      <c r="D423" s="9"/>
      <c r="E423" s="8"/>
      <c r="F423" s="8"/>
      <c r="G423" s="8"/>
      <c r="H423" s="8"/>
    </row>
    <row r="424" spans="3:8" x14ac:dyDescent="0.2">
      <c r="C424" s="8"/>
      <c r="D424" s="9"/>
      <c r="E424" s="8"/>
      <c r="F424" s="8"/>
      <c r="G424" s="8"/>
      <c r="H424" s="8"/>
    </row>
    <row r="425" spans="3:8" x14ac:dyDescent="0.2">
      <c r="C425" s="8"/>
      <c r="D425" s="9"/>
      <c r="E425" s="8"/>
      <c r="F425" s="8"/>
      <c r="G425" s="8"/>
      <c r="H425" s="8"/>
    </row>
    <row r="426" spans="3:8" x14ac:dyDescent="0.2">
      <c r="C426" s="8"/>
      <c r="D426" s="9"/>
      <c r="E426" s="8"/>
      <c r="F426" s="8"/>
      <c r="G426" s="8"/>
      <c r="H426" s="8"/>
    </row>
    <row r="427" spans="3:8" x14ac:dyDescent="0.2">
      <c r="C427" s="8"/>
      <c r="D427" s="9"/>
      <c r="E427" s="8"/>
      <c r="F427" s="8"/>
      <c r="G427" s="8"/>
      <c r="H427" s="8"/>
    </row>
    <row r="428" spans="3:8" x14ac:dyDescent="0.2">
      <c r="C428" s="8"/>
      <c r="D428" s="9"/>
      <c r="E428" s="8"/>
      <c r="F428" s="8"/>
      <c r="G428" s="8"/>
      <c r="H428" s="8"/>
    </row>
    <row r="429" spans="3:8" x14ac:dyDescent="0.2">
      <c r="C429" s="8"/>
      <c r="D429" s="9"/>
      <c r="E429" s="8"/>
      <c r="F429" s="8"/>
      <c r="G429" s="8"/>
      <c r="H429" s="8"/>
    </row>
    <row r="430" spans="3:8" x14ac:dyDescent="0.2">
      <c r="C430" s="8"/>
      <c r="D430" s="9"/>
      <c r="E430" s="8"/>
      <c r="F430" s="8"/>
      <c r="G430" s="8"/>
      <c r="H430" s="8"/>
    </row>
    <row r="431" spans="3:8" x14ac:dyDescent="0.2">
      <c r="C431" s="8"/>
      <c r="D431" s="9"/>
      <c r="E431" s="8"/>
      <c r="F431" s="8"/>
      <c r="G431" s="8"/>
      <c r="H431" s="8"/>
    </row>
    <row r="432" spans="3:8" x14ac:dyDescent="0.2">
      <c r="C432" s="8"/>
      <c r="D432" s="9"/>
      <c r="E432" s="8"/>
      <c r="F432" s="8"/>
      <c r="G432" s="8"/>
      <c r="H432" s="8"/>
    </row>
    <row r="433" spans="3:8" x14ac:dyDescent="0.2">
      <c r="C433" s="8"/>
      <c r="D433" s="9"/>
      <c r="E433" s="8"/>
      <c r="F433" s="8"/>
      <c r="G433" s="8"/>
      <c r="H433" s="8"/>
    </row>
    <row r="434" spans="3:8" x14ac:dyDescent="0.2">
      <c r="C434" s="8"/>
      <c r="D434" s="9"/>
      <c r="E434" s="8"/>
      <c r="F434" s="8"/>
      <c r="G434" s="8"/>
      <c r="H434" s="8"/>
    </row>
    <row r="435" spans="3:8" x14ac:dyDescent="0.2">
      <c r="C435" s="8"/>
      <c r="D435" s="9"/>
      <c r="E435" s="8"/>
      <c r="F435" s="8"/>
      <c r="G435" s="8"/>
      <c r="H435" s="8"/>
    </row>
    <row r="436" spans="3:8" x14ac:dyDescent="0.2">
      <c r="C436" s="8"/>
      <c r="D436" s="9"/>
      <c r="E436" s="8"/>
      <c r="F436" s="8"/>
      <c r="G436" s="8"/>
      <c r="H436" s="8"/>
    </row>
    <row r="437" spans="3:8" x14ac:dyDescent="0.2">
      <c r="C437" s="8"/>
      <c r="D437" s="9"/>
      <c r="E437" s="8"/>
      <c r="F437" s="8"/>
      <c r="G437" s="8"/>
      <c r="H437" s="8"/>
    </row>
    <row r="438" spans="3:8" x14ac:dyDescent="0.2">
      <c r="C438" s="8"/>
      <c r="D438" s="9"/>
      <c r="E438" s="8"/>
      <c r="F438" s="8"/>
      <c r="G438" s="8"/>
      <c r="H438" s="8"/>
    </row>
    <row r="439" spans="3:8" x14ac:dyDescent="0.2">
      <c r="C439" s="8"/>
      <c r="D439" s="9"/>
      <c r="E439" s="8"/>
      <c r="F439" s="8"/>
      <c r="G439" s="8"/>
      <c r="H439" s="8"/>
    </row>
    <row r="440" spans="3:8" x14ac:dyDescent="0.2">
      <c r="C440" s="8"/>
      <c r="D440" s="9"/>
      <c r="E440" s="8"/>
      <c r="F440" s="8"/>
      <c r="G440" s="8"/>
      <c r="H440" s="8"/>
    </row>
    <row r="441" spans="3:8" x14ac:dyDescent="0.2">
      <c r="C441" s="8"/>
      <c r="D441" s="9"/>
      <c r="E441" s="8"/>
      <c r="F441" s="8"/>
      <c r="G441" s="8"/>
      <c r="H441" s="8"/>
    </row>
    <row r="442" spans="3:8" x14ac:dyDescent="0.2">
      <c r="C442" s="8"/>
      <c r="D442" s="9"/>
      <c r="E442" s="8"/>
      <c r="F442" s="8"/>
      <c r="G442" s="8"/>
      <c r="H442" s="8"/>
    </row>
    <row r="443" spans="3:8" x14ac:dyDescent="0.2">
      <c r="C443" s="8"/>
      <c r="D443" s="9"/>
      <c r="E443" s="8"/>
      <c r="F443" s="8"/>
      <c r="G443" s="8"/>
      <c r="H443" s="8"/>
    </row>
    <row r="444" spans="3:8" x14ac:dyDescent="0.2">
      <c r="C444" s="8"/>
      <c r="D444" s="9"/>
      <c r="E444" s="8"/>
      <c r="F444" s="8"/>
      <c r="G444" s="8"/>
      <c r="H444" s="8"/>
    </row>
    <row r="445" spans="3:8" x14ac:dyDescent="0.2">
      <c r="C445" s="8"/>
      <c r="D445" s="9"/>
      <c r="E445" s="8"/>
      <c r="F445" s="8"/>
      <c r="G445" s="8"/>
      <c r="H445" s="8"/>
    </row>
    <row r="446" spans="3:8" x14ac:dyDescent="0.2">
      <c r="C446" s="8"/>
      <c r="D446" s="9"/>
      <c r="E446" s="8"/>
      <c r="F446" s="8"/>
      <c r="G446" s="8"/>
      <c r="H446" s="8"/>
    </row>
    <row r="447" spans="3:8" x14ac:dyDescent="0.2">
      <c r="C447" s="8"/>
      <c r="D447" s="9"/>
      <c r="E447" s="8"/>
      <c r="F447" s="8"/>
      <c r="G447" s="8"/>
      <c r="H447" s="8"/>
    </row>
    <row r="448" spans="3:8" x14ac:dyDescent="0.2">
      <c r="C448" s="8"/>
      <c r="D448" s="9"/>
      <c r="E448" s="8"/>
      <c r="F448" s="8"/>
      <c r="G448" s="8"/>
      <c r="H448" s="8"/>
    </row>
    <row r="449" spans="3:8" x14ac:dyDescent="0.2">
      <c r="C449" s="8"/>
      <c r="D449" s="9"/>
      <c r="E449" s="8"/>
      <c r="F449" s="8"/>
      <c r="G449" s="8"/>
      <c r="H449" s="8"/>
    </row>
    <row r="450" spans="3:8" x14ac:dyDescent="0.2">
      <c r="C450" s="8"/>
      <c r="D450" s="9"/>
      <c r="E450" s="8"/>
      <c r="F450" s="8"/>
      <c r="G450" s="8"/>
      <c r="H450" s="8"/>
    </row>
    <row r="451" spans="3:8" x14ac:dyDescent="0.2">
      <c r="C451" s="8"/>
      <c r="D451" s="9"/>
      <c r="E451" s="8"/>
      <c r="F451" s="8"/>
      <c r="G451" s="8"/>
      <c r="H451" s="8"/>
    </row>
    <row r="452" spans="3:8" x14ac:dyDescent="0.2">
      <c r="C452" s="8"/>
      <c r="D452" s="9"/>
      <c r="E452" s="8"/>
      <c r="F452" s="8"/>
      <c r="G452" s="8"/>
      <c r="H452" s="8"/>
    </row>
    <row r="453" spans="3:8" x14ac:dyDescent="0.2">
      <c r="C453" s="8"/>
      <c r="D453" s="9"/>
      <c r="E453" s="8"/>
      <c r="F453" s="8"/>
      <c r="G453" s="8"/>
      <c r="H453" s="8"/>
    </row>
    <row r="454" spans="3:8" x14ac:dyDescent="0.2">
      <c r="C454" s="8"/>
      <c r="D454" s="9"/>
      <c r="E454" s="8"/>
      <c r="F454" s="8"/>
      <c r="G454" s="8"/>
      <c r="H454" s="8"/>
    </row>
    <row r="455" spans="3:8" x14ac:dyDescent="0.2">
      <c r="C455" s="8"/>
      <c r="D455" s="9"/>
      <c r="E455" s="8"/>
      <c r="F455" s="8"/>
      <c r="G455" s="8"/>
      <c r="H455" s="8"/>
    </row>
    <row r="456" spans="3:8" x14ac:dyDescent="0.2">
      <c r="C456" s="8"/>
      <c r="D456" s="9"/>
      <c r="E456" s="8"/>
      <c r="F456" s="8"/>
      <c r="G456" s="8"/>
      <c r="H456" s="8"/>
    </row>
    <row r="457" spans="3:8" x14ac:dyDescent="0.2">
      <c r="C457" s="8"/>
      <c r="D457" s="9"/>
      <c r="E457" s="8"/>
      <c r="F457" s="8"/>
      <c r="G457" s="8"/>
      <c r="H457" s="8"/>
    </row>
    <row r="458" spans="3:8" x14ac:dyDescent="0.2">
      <c r="C458" s="8"/>
      <c r="D458" s="9"/>
      <c r="E458" s="8"/>
      <c r="F458" s="8"/>
      <c r="G458" s="8"/>
      <c r="H458" s="8"/>
    </row>
    <row r="459" spans="3:8" x14ac:dyDescent="0.2">
      <c r="C459" s="8"/>
      <c r="D459" s="9"/>
      <c r="E459" s="8"/>
      <c r="F459" s="8"/>
      <c r="G459" s="8"/>
      <c r="H459" s="8"/>
    </row>
    <row r="460" spans="3:8" x14ac:dyDescent="0.2">
      <c r="C460" s="8"/>
      <c r="D460" s="9"/>
      <c r="E460" s="8"/>
      <c r="F460" s="8"/>
      <c r="G460" s="8"/>
      <c r="H460" s="8"/>
    </row>
    <row r="461" spans="3:8" x14ac:dyDescent="0.2">
      <c r="C461" s="8"/>
      <c r="D461" s="9"/>
      <c r="E461" s="8"/>
      <c r="F461" s="8"/>
      <c r="G461" s="8"/>
      <c r="H461" s="8"/>
    </row>
    <row r="462" spans="3:8" x14ac:dyDescent="0.2">
      <c r="C462" s="8"/>
      <c r="D462" s="9"/>
      <c r="E462" s="8"/>
      <c r="F462" s="8"/>
      <c r="G462" s="8"/>
      <c r="H462" s="8"/>
    </row>
    <row r="463" spans="3:8" x14ac:dyDescent="0.2">
      <c r="C463" s="8"/>
      <c r="D463" s="9"/>
      <c r="E463" s="8"/>
      <c r="F463" s="8"/>
      <c r="G463" s="8"/>
      <c r="H463" s="8"/>
    </row>
    <row r="464" spans="3:8" x14ac:dyDescent="0.2">
      <c r="C464" s="8"/>
      <c r="D464" s="9"/>
      <c r="E464" s="8"/>
      <c r="F464" s="8"/>
      <c r="G464" s="8"/>
      <c r="H464" s="8"/>
    </row>
    <row r="465" spans="3:8" x14ac:dyDescent="0.2">
      <c r="C465" s="8"/>
      <c r="D465" s="9"/>
      <c r="E465" s="8"/>
      <c r="F465" s="8"/>
      <c r="G465" s="8"/>
      <c r="H465" s="8"/>
    </row>
    <row r="466" spans="3:8" x14ac:dyDescent="0.2">
      <c r="C466" s="8"/>
      <c r="D466" s="9"/>
      <c r="E466" s="8"/>
      <c r="F466" s="8"/>
      <c r="G466" s="8"/>
      <c r="H466" s="8"/>
    </row>
    <row r="467" spans="3:8" x14ac:dyDescent="0.2">
      <c r="C467" s="8"/>
      <c r="D467" s="9"/>
      <c r="E467" s="8"/>
      <c r="F467" s="8"/>
      <c r="G467" s="8"/>
      <c r="H467" s="8"/>
    </row>
    <row r="468" spans="3:8" x14ac:dyDescent="0.2">
      <c r="C468" s="8"/>
      <c r="D468" s="9"/>
      <c r="E468" s="8"/>
      <c r="F468" s="8"/>
      <c r="G468" s="8"/>
      <c r="H468" s="8"/>
    </row>
    <row r="469" spans="3:8" x14ac:dyDescent="0.2">
      <c r="C469" s="8"/>
      <c r="D469" s="9"/>
      <c r="E469" s="8"/>
      <c r="F469" s="8"/>
      <c r="G469" s="8"/>
      <c r="H469" s="8"/>
    </row>
    <row r="470" spans="3:8" x14ac:dyDescent="0.2">
      <c r="C470" s="8"/>
      <c r="D470" s="9"/>
      <c r="E470" s="8"/>
      <c r="F470" s="8"/>
      <c r="G470" s="8"/>
      <c r="H470" s="8"/>
    </row>
    <row r="471" spans="3:8" x14ac:dyDescent="0.2">
      <c r="C471" s="8"/>
      <c r="D471" s="9"/>
      <c r="E471" s="8"/>
      <c r="F471" s="8"/>
      <c r="G471" s="8"/>
      <c r="H471" s="8"/>
    </row>
    <row r="472" spans="3:8" x14ac:dyDescent="0.2">
      <c r="C472" s="8"/>
      <c r="D472" s="9"/>
      <c r="E472" s="8"/>
      <c r="F472" s="8"/>
      <c r="G472" s="8"/>
      <c r="H472" s="8"/>
    </row>
    <row r="473" spans="3:8" x14ac:dyDescent="0.2">
      <c r="C473" s="8"/>
      <c r="D473" s="9"/>
      <c r="E473" s="8"/>
      <c r="F473" s="8"/>
      <c r="G473" s="8"/>
      <c r="H473" s="8"/>
    </row>
    <row r="474" spans="3:8" x14ac:dyDescent="0.2">
      <c r="C474" s="8"/>
      <c r="D474" s="9"/>
      <c r="E474" s="8"/>
      <c r="F474" s="8"/>
      <c r="G474" s="8"/>
      <c r="H474" s="8"/>
    </row>
    <row r="475" spans="3:8" x14ac:dyDescent="0.2">
      <c r="C475" s="8"/>
      <c r="D475" s="9"/>
      <c r="E475" s="8"/>
      <c r="F475" s="8"/>
      <c r="G475" s="8"/>
      <c r="H475" s="8"/>
    </row>
    <row r="476" spans="3:8" x14ac:dyDescent="0.2">
      <c r="C476" s="8"/>
      <c r="D476" s="9"/>
      <c r="E476" s="8"/>
      <c r="F476" s="8"/>
      <c r="G476" s="8"/>
      <c r="H476" s="8"/>
    </row>
    <row r="477" spans="3:8" x14ac:dyDescent="0.2">
      <c r="C477" s="8"/>
      <c r="D477" s="9"/>
      <c r="E477" s="8"/>
      <c r="F477" s="8"/>
      <c r="G477" s="8"/>
      <c r="H477" s="8"/>
    </row>
    <row r="478" spans="3:8" x14ac:dyDescent="0.2">
      <c r="C478" s="8"/>
      <c r="D478" s="9"/>
      <c r="E478" s="8"/>
      <c r="F478" s="8"/>
      <c r="G478" s="8"/>
      <c r="H478" s="8"/>
    </row>
    <row r="479" spans="3:8" x14ac:dyDescent="0.2">
      <c r="C479" s="8"/>
      <c r="D479" s="9"/>
      <c r="E479" s="8"/>
      <c r="F479" s="8"/>
      <c r="G479" s="8"/>
      <c r="H479" s="8"/>
    </row>
    <row r="480" spans="3:8" x14ac:dyDescent="0.2">
      <c r="C480" s="8"/>
      <c r="D480" s="9"/>
      <c r="E480" s="8"/>
      <c r="F480" s="8"/>
      <c r="G480" s="8"/>
      <c r="H480" s="8"/>
    </row>
    <row r="481" spans="3:8" x14ac:dyDescent="0.2">
      <c r="C481" s="8"/>
      <c r="D481" s="9"/>
      <c r="E481" s="8"/>
      <c r="F481" s="8"/>
      <c r="G481" s="8"/>
      <c r="H481" s="8"/>
    </row>
    <row r="482" spans="3:8" x14ac:dyDescent="0.2">
      <c r="C482" s="8"/>
      <c r="D482" s="9"/>
      <c r="E482" s="8"/>
      <c r="F482" s="8"/>
      <c r="G482" s="8"/>
      <c r="H482" s="8"/>
    </row>
    <row r="483" spans="3:8" x14ac:dyDescent="0.2">
      <c r="C483" s="8"/>
      <c r="D483" s="9"/>
      <c r="E483" s="8"/>
      <c r="F483" s="8"/>
      <c r="G483" s="8"/>
      <c r="H483" s="8"/>
    </row>
    <row r="484" spans="3:8" x14ac:dyDescent="0.2">
      <c r="C484" s="8"/>
      <c r="D484" s="9"/>
      <c r="E484" s="8"/>
      <c r="F484" s="8"/>
      <c r="G484" s="8"/>
      <c r="H484" s="8"/>
    </row>
    <row r="485" spans="3:8" x14ac:dyDescent="0.2">
      <c r="C485" s="8"/>
      <c r="D485" s="9"/>
      <c r="E485" s="8"/>
      <c r="F485" s="8"/>
      <c r="G485" s="8"/>
      <c r="H485" s="8"/>
    </row>
    <row r="486" spans="3:8" x14ac:dyDescent="0.2">
      <c r="C486" s="8"/>
      <c r="D486" s="9"/>
      <c r="E486" s="8"/>
      <c r="F486" s="8"/>
      <c r="G486" s="8"/>
      <c r="H486" s="8"/>
    </row>
    <row r="487" spans="3:8" x14ac:dyDescent="0.2">
      <c r="C487" s="8"/>
      <c r="D487" s="9"/>
      <c r="E487" s="8"/>
      <c r="F487" s="8"/>
      <c r="G487" s="8"/>
      <c r="H487" s="8"/>
    </row>
    <row r="488" spans="3:8" x14ac:dyDescent="0.2">
      <c r="C488" s="8"/>
      <c r="D488" s="9"/>
      <c r="E488" s="8"/>
      <c r="F488" s="8"/>
      <c r="G488" s="8"/>
      <c r="H488" s="8"/>
    </row>
    <row r="489" spans="3:8" x14ac:dyDescent="0.2">
      <c r="C489" s="8"/>
      <c r="D489" s="9"/>
      <c r="E489" s="8"/>
      <c r="F489" s="8"/>
      <c r="G489" s="8"/>
      <c r="H489" s="8"/>
    </row>
    <row r="490" spans="3:8" x14ac:dyDescent="0.2">
      <c r="C490" s="8"/>
      <c r="D490" s="9"/>
      <c r="E490" s="8"/>
      <c r="F490" s="8"/>
      <c r="G490" s="8"/>
      <c r="H490" s="8"/>
    </row>
    <row r="491" spans="3:8" x14ac:dyDescent="0.2">
      <c r="C491" s="8"/>
      <c r="D491" s="9"/>
      <c r="E491" s="8"/>
      <c r="F491" s="8"/>
      <c r="G491" s="8"/>
      <c r="H491" s="8"/>
    </row>
    <row r="492" spans="3:8" x14ac:dyDescent="0.2">
      <c r="C492" s="8"/>
      <c r="D492" s="9"/>
      <c r="E492" s="8"/>
      <c r="F492" s="8"/>
      <c r="G492" s="8"/>
      <c r="H492" s="8"/>
    </row>
    <row r="493" spans="3:8" x14ac:dyDescent="0.2">
      <c r="C493" s="8"/>
      <c r="D493" s="9"/>
      <c r="E493" s="8"/>
      <c r="F493" s="8"/>
      <c r="G493" s="8"/>
      <c r="H493" s="8"/>
    </row>
    <row r="494" spans="3:8" x14ac:dyDescent="0.2">
      <c r="C494" s="8"/>
      <c r="D494" s="9"/>
      <c r="E494" s="8"/>
      <c r="F494" s="8"/>
      <c r="G494" s="8"/>
      <c r="H494" s="8"/>
    </row>
    <row r="495" spans="3:8" x14ac:dyDescent="0.2">
      <c r="C495" s="8"/>
      <c r="D495" s="9"/>
      <c r="E495" s="8"/>
      <c r="F495" s="8"/>
      <c r="G495" s="8"/>
      <c r="H495" s="8"/>
    </row>
    <row r="496" spans="3:8" x14ac:dyDescent="0.2">
      <c r="C496" s="8"/>
      <c r="D496" s="9"/>
      <c r="E496" s="8"/>
      <c r="F496" s="8"/>
      <c r="G496" s="8"/>
      <c r="H496" s="8"/>
    </row>
    <row r="497" spans="3:8" x14ac:dyDescent="0.2">
      <c r="C497" s="8"/>
      <c r="D497" s="9"/>
      <c r="E497" s="8"/>
      <c r="F497" s="8"/>
      <c r="G497" s="8"/>
      <c r="H497" s="8"/>
    </row>
    <row r="498" spans="3:8" x14ac:dyDescent="0.2">
      <c r="C498" s="8"/>
      <c r="D498" s="9"/>
      <c r="E498" s="8"/>
      <c r="F498" s="8"/>
      <c r="G498" s="8"/>
      <c r="H498" s="8"/>
    </row>
    <row r="499" spans="3:8" x14ac:dyDescent="0.2">
      <c r="C499" s="8"/>
      <c r="D499" s="9"/>
      <c r="E499" s="8"/>
      <c r="F499" s="8"/>
      <c r="G499" s="8"/>
      <c r="H499" s="8"/>
    </row>
    <row r="500" spans="3:8" x14ac:dyDescent="0.2">
      <c r="C500" s="8"/>
      <c r="D500" s="9"/>
      <c r="E500" s="8"/>
      <c r="F500" s="8"/>
      <c r="G500" s="8"/>
      <c r="H500" s="8"/>
    </row>
  </sheetData>
  <mergeCells count="1">
    <mergeCell ref="A3:O3"/>
  </mergeCells>
  <conditionalFormatting sqref="D6:D55">
    <cfRule type="expression" dxfId="78" priority="1">
      <formula>D6&gt;0</formula>
    </cfRule>
  </conditionalFormatting>
  <conditionalFormatting sqref="D6:D55">
    <cfRule type="expression" dxfId="77" priority="2">
      <formula>D6&lt;0</formula>
    </cfRule>
  </conditionalFormatting>
  <conditionalFormatting sqref="H6:H55">
    <cfRule type="expression" dxfId="76" priority="3">
      <formula>AND(ISNUMBER(H6),H6&gt;100)</formula>
    </cfRule>
  </conditionalFormatting>
  <conditionalFormatting sqref="K6:K55">
    <cfRule type="expression" dxfId="75" priority="4">
      <formula>K6="STALE"</formula>
    </cfRule>
  </conditionalFormatting>
  <conditionalFormatting sqref="K6:K55">
    <cfRule type="expression" dxfId="74" priority="5">
      <formula>K6="MARKET_CLOSED"</formula>
    </cfRule>
  </conditionalFormatting>
  <conditionalFormatting sqref="L6:L55">
    <cfRule type="expression" dxfId="73" priority="6">
      <formula>L6="OUTLIER"</formula>
    </cfRule>
  </conditionalFormatting>
  <conditionalFormatting sqref="M6:M55">
    <cfRule type="expression" dxfId="72" priority="7">
      <formula>M6="CROSSED"</formula>
    </cfRule>
  </conditionalFormatting>
  <conditionalFormatting sqref="N6:N55">
    <cfRule type="expression" dxfId="71" priority="8">
      <formula>N6="LOCKED"</formula>
    </cfRule>
  </conditionalFormatting>
  <conditionalFormatting sqref="O6:O55">
    <cfRule type="expression" dxfId="70" priority="9">
      <formula>O6="PASS"</formula>
    </cfRule>
  </conditionalFormatting>
  <conditionalFormatting sqref="O6:O55">
    <cfRule type="expression" dxfId="69" priority="10">
      <formula>OR(O6="REVIEW",O6="LOCKED")</formula>
    </cfRule>
  </conditionalFormatting>
  <conditionalFormatting sqref="O6:O55">
    <cfRule type="expression" dxfId="68" priority="11">
      <formula>OR(O6="STALE",O6="CROSSED")</formula>
    </cfRule>
  </conditionalFormatting>
  <conditionalFormatting sqref="O6:O55">
    <cfRule type="expression" dxfId="67" priority="12">
      <formula>O6="OUTLIER"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0052B-9CF7-C640-8A00-A16B9BA4953C}">
  <dimension ref="A1:Q500"/>
  <sheetViews>
    <sheetView showGridLines="0" topLeftCell="G1" workbookViewId="0">
      <pane ySplit="5" topLeftCell="A6" activePane="bottomLeft" state="frozen"/>
      <selection pane="bottomLeft" activeCell="B35" sqref="B35"/>
    </sheetView>
  </sheetViews>
  <sheetFormatPr baseColWidth="10" defaultRowHeight="16" x14ac:dyDescent="0.2"/>
  <cols>
    <col min="1" max="1" width="12.5" style="3" customWidth="1"/>
    <col min="2" max="2" width="30" style="3" customWidth="1"/>
    <col min="3" max="8" width="16.6640625" style="3" customWidth="1"/>
    <col min="9" max="9" width="4.1640625" style="3" customWidth="1"/>
    <col min="10" max="17" width="18.33203125" style="3" customWidth="1"/>
  </cols>
  <sheetData>
    <row r="1" spans="1:17" ht="24" x14ac:dyDescent="0.3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7" x14ac:dyDescent="0.2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s="25" customFormat="1" ht="30" customHeight="1" x14ac:dyDescent="0.2">
      <c r="A3" s="38" t="s">
        <v>111</v>
      </c>
      <c r="B3" s="38"/>
      <c r="C3" s="38"/>
      <c r="D3" s="38"/>
      <c r="E3" s="38"/>
      <c r="F3" s="38"/>
      <c r="G3" s="38"/>
      <c r="H3" s="3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">
      <c r="A4" s="5" t="s">
        <v>47</v>
      </c>
      <c r="B4" s="5"/>
      <c r="C4" s="5"/>
      <c r="D4" s="5"/>
      <c r="E4" s="5"/>
      <c r="F4" s="5"/>
      <c r="G4" s="5"/>
      <c r="H4" s="5"/>
      <c r="J4" s="5" t="s">
        <v>112</v>
      </c>
      <c r="K4" s="5"/>
      <c r="M4" s="5" t="s">
        <v>113</v>
      </c>
      <c r="N4" s="5"/>
      <c r="P4" s="5" t="s">
        <v>114</v>
      </c>
      <c r="Q4" s="5"/>
    </row>
    <row r="5" spans="1:17" s="30" customFormat="1" ht="34" customHeight="1" thickBot="1" x14ac:dyDescent="0.25">
      <c r="A5" s="27" t="s">
        <v>27</v>
      </c>
      <c r="B5" s="27" t="s">
        <v>28</v>
      </c>
      <c r="C5" s="27" t="s">
        <v>35</v>
      </c>
      <c r="D5" s="27" t="s">
        <v>36</v>
      </c>
      <c r="E5" s="27" t="s">
        <v>401</v>
      </c>
      <c r="F5" s="27" t="s">
        <v>48</v>
      </c>
      <c r="G5" s="27" t="s">
        <v>49</v>
      </c>
      <c r="H5" s="27" t="s">
        <v>400</v>
      </c>
      <c r="I5" s="28"/>
      <c r="J5" s="29" t="s">
        <v>27</v>
      </c>
      <c r="K5" s="29" t="s">
        <v>36</v>
      </c>
      <c r="L5" s="28"/>
      <c r="M5" s="29" t="s">
        <v>27</v>
      </c>
      <c r="N5" s="29" t="s">
        <v>36</v>
      </c>
      <c r="O5" s="28"/>
      <c r="P5" s="29" t="s">
        <v>27</v>
      </c>
      <c r="Q5" s="29" t="s">
        <v>65</v>
      </c>
    </row>
    <row r="6" spans="1:17" x14ac:dyDescent="0.2">
      <c r="A6" s="3" t="str" cm="1">
        <f t="array" ref="A6">IFERROR(INDEX(_xlfn._xlws.FILTER(market_overview[symbol],market_overview[category]="Japan Equity"),1),"")</f>
        <v>6501.T</v>
      </c>
      <c r="B6" s="3" t="str" cm="1">
        <f t="array" ref="B6">IFERROR(INDEX(_xlfn._xlws.FILTER(market_overview[name],market_overview[category]="Japan Equity"),1),"")</f>
        <v>Hitachi</v>
      </c>
      <c r="C6" s="8" cm="1">
        <f t="array" ref="C6">IFERROR(INDEX(_xlfn._xlws.FILTER(market_overview[price],market_overview[category]="Japan Equity"),1),"")</f>
        <v>5526</v>
      </c>
      <c r="D6" s="9" cm="1">
        <f t="array" ref="D6">IFERROR(INDEX(_xlfn._xlws.FILTER(market_overview[move_bps],market_overview[category]="Japan Equity"),1),"")</f>
        <v>7.243752263672576</v>
      </c>
      <c r="E6" s="48" cm="1">
        <f t="array" ref="E6">IFERROR(INDEX(_xlfn._xlws.FILTER(market_overview[market_age_minutes],market_overview[category]="Japan Equity"),1),"")</f>
        <v>919.0088565333333</v>
      </c>
      <c r="F6" s="3" t="str" cm="1">
        <f t="array" ref="F6">IF(A6="","",_xlfn.LET(_xlpm.op,INDEX(_xlfn._xlws.FILTER(market_overview[market_expected_open],market_overview[category]="Japan Equity"),1),_xlpm.s,INDEX(_xlfn._xlws.FILTER(market_overview[market_stale_flag],market_overview[category]="Japan Equity"),1),IF(_xlpm.op="NO","MARKET_CLOSED",_xlpm.s)))</f>
        <v>MARKET_CLOSED</v>
      </c>
      <c r="G6" s="3" t="str" cm="1">
        <f t="array" ref="G6">IFERROR(INDEX(_xlfn._xlws.FILTER(market_overview[market_outlier_flag],market_overview[category]="Japan Equity"),1),"")</f>
        <v>OK</v>
      </c>
      <c r="J6" s="3" t="str" cm="1">
        <f t="array" ref="J6:K10">_xlfn.LET(_xlpm.f,_xlfn._xlws.FILTER(_xlfn.HSTACK(market_overview[symbol],market_overview[move_bps]),(market_overview[category]="Japan Equity")*(market_overview[move_bps]&gt;0),""),IFERROR(_xlfn.TAKE(_xlfn.SORTBY(_xlpm.f,INDEX(_xlpm.f,,2),-1),5),""))</f>
        <v>6861.T</v>
      </c>
      <c r="K6" s="47">
        <v>23.234800567961678</v>
      </c>
      <c r="M6" s="3" t="str" cm="1">
        <f t="array" ref="M6:N9">_xlfn.LET(_xlpm.f,_xlfn._xlws.FILTER(_xlfn.HSTACK(market_overview[symbol],market_overview[move_bps]),(market_overview[category]="Japan Equity")*(market_overview[move_bps]&lt;0),""),IFERROR(_xlfn.TAKE(_xlfn.SORTBY(_xlpm.f,INDEX(_xlpm.f,,2),1),5),""))</f>
        <v>9984.T</v>
      </c>
      <c r="N6" s="47">
        <v>-32.863849765257804</v>
      </c>
      <c r="P6" s="3" t="str" cm="1">
        <f t="array" ref="P6">_xlfn.LET(_xlpm.f,_xlfn._xlws.FILTER(_xlfn.HSTACK(market_overview[symbol],market_overview[final_quality_status]),(market_overview[category]="Japan Equity")*(market_overview[final_quality_status]&lt;&gt;"PASS"),""),IFERROR(_xlfn.TAKE(_xlpm.f,5),""))</f>
        <v/>
      </c>
    </row>
    <row r="7" spans="1:17" x14ac:dyDescent="0.2">
      <c r="A7" s="3" t="str" cm="1">
        <f t="array" ref="A7">IFERROR(INDEX(_xlfn._xlws.FILTER(market_overview[symbol],market_overview[category]="Japan Equity"),2),"")</f>
        <v>6758.T</v>
      </c>
      <c r="B7" s="3" t="str" cm="1">
        <f t="array" ref="B7">IFERROR(INDEX(_xlfn._xlws.FILTER(market_overview[name],market_overview[category]="Japan Equity"),2),"")</f>
        <v>Sony Group</v>
      </c>
      <c r="C7" s="8" cm="1">
        <f t="array" ref="C7">IFERROR(INDEX(_xlfn._xlws.FILTER(market_overview[price],market_overview[category]="Japan Equity"),2),"")</f>
        <v>3694</v>
      </c>
      <c r="D7" s="9" cm="1">
        <f t="array" ref="D7">IFERROR(INDEX(_xlfn._xlws.FILTER(market_overview[move_bps],market_overview[category]="Japan Equity"),2),"")</f>
        <v>13.553808620221375</v>
      </c>
      <c r="E7" s="48" cm="1">
        <f t="array" ref="E7">IFERROR(INDEX(_xlfn._xlws.FILTER(market_overview[market_age_minutes],market_overview[category]="Japan Equity"),2),"")</f>
        <v>919.0088565333333</v>
      </c>
      <c r="F7" s="3" t="str" cm="1">
        <f t="array" ref="F7">IF(A7="","",_xlfn.LET(_xlpm.op,INDEX(_xlfn._xlws.FILTER(market_overview[market_expected_open],market_overview[category]="Japan Equity"),2),_xlpm.s,INDEX(_xlfn._xlws.FILTER(market_overview[market_stale_flag],market_overview[category]="Japan Equity"),2),IF(_xlpm.op="NO","MARKET_CLOSED",_xlpm.s)))</f>
        <v>MARKET_CLOSED</v>
      </c>
      <c r="G7" s="3" t="str" cm="1">
        <f t="array" ref="G7">IFERROR(INDEX(_xlfn._xlws.FILTER(market_overview[market_outlier_flag],market_overview[category]="Japan Equity"),2),"")</f>
        <v>OK</v>
      </c>
      <c r="J7" s="3" t="str">
        <v>6758.T</v>
      </c>
      <c r="K7" s="47">
        <v>13.553808620221375</v>
      </c>
      <c r="M7" s="3" t="str">
        <v>9983.T</v>
      </c>
      <c r="N7" s="47">
        <v>-10.304725452672248</v>
      </c>
    </row>
    <row r="8" spans="1:17" x14ac:dyDescent="0.2">
      <c r="A8" s="3" t="str" cm="1">
        <f t="array" ref="A8">IFERROR(INDEX(_xlfn._xlws.FILTER(market_overview[symbol],market_overview[category]="Japan Equity"),3),"")</f>
        <v>6861.T</v>
      </c>
      <c r="B8" s="3" t="str" cm="1">
        <f t="array" ref="B8">IFERROR(INDEX(_xlfn._xlws.FILTER(market_overview[name],market_overview[category]="Japan Equity"),3),"")</f>
        <v>Keyence</v>
      </c>
      <c r="C8" s="8" cm="1">
        <f t="array" ref="C8">IFERROR(INDEX(_xlfn._xlws.FILTER(market_overview[price],market_overview[category]="Japan Equity"),3),"")</f>
        <v>77650</v>
      </c>
      <c r="D8" s="9" cm="1">
        <f t="array" ref="D8">IFERROR(INDEX(_xlfn._xlws.FILTER(market_overview[move_bps],market_overview[category]="Japan Equity"),3),"")</f>
        <v>23.234800567961678</v>
      </c>
      <c r="E8" s="48" cm="1">
        <f t="array" ref="E8">IFERROR(INDEX(_xlfn._xlws.FILTER(market_overview[market_age_minutes],market_overview[category]="Japan Equity"),3),"")</f>
        <v>919.0088565333333</v>
      </c>
      <c r="F8" s="3" t="str" cm="1">
        <f t="array" ref="F8">IF(A8="","",_xlfn.LET(_xlpm.op,INDEX(_xlfn._xlws.FILTER(market_overview[market_expected_open],market_overview[category]="Japan Equity"),3),_xlpm.s,INDEX(_xlfn._xlws.FILTER(market_overview[market_stale_flag],market_overview[category]="Japan Equity"),3),IF(_xlpm.op="NO","MARKET_CLOSED",_xlpm.s)))</f>
        <v>MARKET_CLOSED</v>
      </c>
      <c r="G8" s="3" t="str" cm="1">
        <f t="array" ref="G8">IFERROR(INDEX(_xlfn._xlws.FILTER(market_overview[market_outlier_flag],market_overview[category]="Japan Equity"),3),"")</f>
        <v>OK</v>
      </c>
      <c r="J8" s="3" t="str">
        <v>7974.T</v>
      </c>
      <c r="K8" s="47">
        <v>9.7644330526058809</v>
      </c>
      <c r="M8" s="3" t="str">
        <v>7203.T</v>
      </c>
      <c r="N8" s="47">
        <v>-5.034401745259709</v>
      </c>
    </row>
    <row r="9" spans="1:17" x14ac:dyDescent="0.2">
      <c r="A9" s="3" t="str" cm="1">
        <f t="array" ref="A9">IFERROR(INDEX(_xlfn._xlws.FILTER(market_overview[symbol],market_overview[category]="Japan Equity"),4),"")</f>
        <v>7011.T</v>
      </c>
      <c r="B9" s="3" t="str" cm="1">
        <f t="array" ref="B9">IFERROR(INDEX(_xlfn._xlws.FILTER(market_overview[name],market_overview[category]="Japan Equity"),4),"")</f>
        <v>Mitsubishi Heavy Industries</v>
      </c>
      <c r="C9" s="8" cm="1">
        <f t="array" ref="C9">IFERROR(INDEX(_xlfn._xlws.FILTER(market_overview[price],market_overview[category]="Japan Equity"),4),"")</f>
        <v>3928</v>
      </c>
      <c r="D9" s="9" cm="1">
        <f t="array" ref="D9">IFERROR(INDEX(_xlfn._xlws.FILTER(market_overview[move_bps],market_overview[category]="Japan Equity"),4),"")</f>
        <v>-2.5451768897943872</v>
      </c>
      <c r="E9" s="48" cm="1">
        <f t="array" ref="E9">IFERROR(INDEX(_xlfn._xlws.FILTER(market_overview[market_age_minutes],market_overview[category]="Japan Equity"),4),"")</f>
        <v>919.0088565333333</v>
      </c>
      <c r="F9" s="3" t="str" cm="1">
        <f t="array" ref="F9">IF(A9="","",_xlfn.LET(_xlpm.op,INDEX(_xlfn._xlws.FILTER(market_overview[market_expected_open],market_overview[category]="Japan Equity"),4),_xlpm.s,INDEX(_xlfn._xlws.FILTER(market_overview[market_stale_flag],market_overview[category]="Japan Equity"),4),IF(_xlpm.op="NO","MARKET_CLOSED",_xlpm.s)))</f>
        <v>MARKET_CLOSED</v>
      </c>
      <c r="G9" s="3" t="str" cm="1">
        <f t="array" ref="G9">IFERROR(INDEX(_xlfn._xlws.FILTER(market_overview[market_outlier_flag],market_overview[category]="Japan Equity"),4),"")</f>
        <v>OK</v>
      </c>
      <c r="J9" s="3" t="str">
        <v>6501.T</v>
      </c>
      <c r="K9" s="47">
        <v>7.243752263672576</v>
      </c>
      <c r="M9" s="3" t="str">
        <v>7011.T</v>
      </c>
      <c r="N9" s="47">
        <v>-2.5451768897943872</v>
      </c>
    </row>
    <row r="10" spans="1:17" x14ac:dyDescent="0.2">
      <c r="A10" s="3" t="str" cm="1">
        <f t="array" ref="A10">IFERROR(INDEX(_xlfn._xlws.FILTER(market_overview[symbol],market_overview[category]="Japan Equity"),5),"")</f>
        <v>7203.T</v>
      </c>
      <c r="B10" s="3" t="str" cm="1">
        <f t="array" ref="B10">IFERROR(INDEX(_xlfn._xlws.FILTER(market_overview[name],market_overview[category]="Japan Equity"),5),"")</f>
        <v>Toyota Motor</v>
      </c>
      <c r="C10" s="8" cm="1">
        <f t="array" ref="C10">IFERROR(INDEX(_xlfn._xlws.FILTER(market_overview[price],market_overview[category]="Japan Equity"),5),"")</f>
        <v>2978</v>
      </c>
      <c r="D10" s="9" cm="1">
        <f t="array" ref="D10">IFERROR(INDEX(_xlfn._xlws.FILTER(market_overview[move_bps],market_overview[category]="Japan Equity"),5),"")</f>
        <v>-5.034401745259709</v>
      </c>
      <c r="E10" s="48" cm="1">
        <f t="array" ref="E10">IFERROR(INDEX(_xlfn._xlws.FILTER(market_overview[market_age_minutes],market_overview[category]="Japan Equity"),5),"")</f>
        <v>919.0088565333333</v>
      </c>
      <c r="F10" s="3" t="str" cm="1">
        <f t="array" ref="F10">IF(A10="","",_xlfn.LET(_xlpm.op,INDEX(_xlfn._xlws.FILTER(market_overview[market_expected_open],market_overview[category]="Japan Equity"),5),_xlpm.s,INDEX(_xlfn._xlws.FILTER(market_overview[market_stale_flag],market_overview[category]="Japan Equity"),5),IF(_xlpm.op="NO","MARKET_CLOSED",_xlpm.s)))</f>
        <v>MARKET_CLOSED</v>
      </c>
      <c r="G10" s="3" t="str" cm="1">
        <f t="array" ref="G10">IFERROR(INDEX(_xlfn._xlws.FILTER(market_overview[market_outlier_flag],market_overview[category]="Japan Equity"),5),"")</f>
        <v>OK</v>
      </c>
      <c r="J10" s="3" t="str">
        <v>8306.T</v>
      </c>
      <c r="K10" s="47">
        <v>5.5881531153945119</v>
      </c>
      <c r="N10" s="47"/>
    </row>
    <row r="11" spans="1:17" x14ac:dyDescent="0.2">
      <c r="A11" s="3" t="str" cm="1">
        <f t="array" ref="A11">IFERROR(INDEX(_xlfn._xlws.FILTER(market_overview[symbol],market_overview[category]="Japan Equity"),6),"")</f>
        <v>7974.T</v>
      </c>
      <c r="B11" s="3" t="str" cm="1">
        <f t="array" ref="B11">IFERROR(INDEX(_xlfn._xlws.FILTER(market_overview[name],market_overview[category]="Japan Equity"),6),"")</f>
        <v>Nintendo</v>
      </c>
      <c r="C11" s="8" cm="1">
        <f t="array" ref="C11">IFERROR(INDEX(_xlfn._xlws.FILTER(market_overview[price],market_overview[category]="Japan Equity"),6),"")</f>
        <v>8201</v>
      </c>
      <c r="D11" s="9" cm="1">
        <f t="array" ref="D11">IFERROR(INDEX(_xlfn._xlws.FILTER(market_overview[move_bps],market_overview[category]="Japan Equity"),6),"")</f>
        <v>9.7644330526058809</v>
      </c>
      <c r="E11" s="48" cm="1">
        <f t="array" ref="E11">IFERROR(INDEX(_xlfn._xlws.FILTER(market_overview[market_age_minutes],market_overview[category]="Japan Equity"),6),"")</f>
        <v>919.0088565333333</v>
      </c>
      <c r="F11" s="3" t="str" cm="1">
        <f t="array" ref="F11">IF(A11="","",_xlfn.LET(_xlpm.op,INDEX(_xlfn._xlws.FILTER(market_overview[market_expected_open],market_overview[category]="Japan Equity"),6),_xlpm.s,INDEX(_xlfn._xlws.FILTER(market_overview[market_stale_flag],market_overview[category]="Japan Equity"),6),IF(_xlpm.op="NO","MARKET_CLOSED",_xlpm.s)))</f>
        <v>MARKET_CLOSED</v>
      </c>
      <c r="G11" s="3" t="str" cm="1">
        <f t="array" ref="G11">IFERROR(INDEX(_xlfn._xlws.FILTER(market_overview[market_outlier_flag],market_overview[category]="Japan Equity"),6),"")</f>
        <v>OK</v>
      </c>
    </row>
    <row r="12" spans="1:17" x14ac:dyDescent="0.2">
      <c r="A12" s="3" t="str" cm="1">
        <f t="array" ref="A12">IFERROR(INDEX(_xlfn._xlws.FILTER(market_overview[symbol],market_overview[category]="Japan Equity"),7),"")</f>
        <v>8035.T</v>
      </c>
      <c r="B12" s="3" t="str" cm="1">
        <f t="array" ref="B12">IFERROR(INDEX(_xlfn._xlws.FILTER(market_overview[name],market_overview[category]="Japan Equity"),7),"")</f>
        <v>Tokyo Electron</v>
      </c>
      <c r="C12" s="8" cm="1">
        <f t="array" ref="C12">IFERROR(INDEX(_xlfn._xlws.FILTER(market_overview[price],market_overview[category]="Japan Equity"),7),"")</f>
        <v>54440</v>
      </c>
      <c r="D12" s="9" cm="1">
        <f t="array" ref="D12">IFERROR(INDEX(_xlfn._xlws.FILTER(market_overview[move_bps],market_overview[category]="Japan Equity"),7),"")</f>
        <v>3.675119441381991</v>
      </c>
      <c r="E12" s="48" cm="1">
        <f t="array" ref="E12">IFERROR(INDEX(_xlfn._xlws.FILTER(market_overview[market_age_minutes],market_overview[category]="Japan Equity"),7),"")</f>
        <v>919.0088565333333</v>
      </c>
      <c r="F12" s="3" t="str" cm="1">
        <f t="array" ref="F12">IF(A12="","",_xlfn.LET(_xlpm.op,INDEX(_xlfn._xlws.FILTER(market_overview[market_expected_open],market_overview[category]="Japan Equity"),7),_xlpm.s,INDEX(_xlfn._xlws.FILTER(market_overview[market_stale_flag],market_overview[category]="Japan Equity"),7),IF(_xlpm.op="NO","MARKET_CLOSED",_xlpm.s)))</f>
        <v>MARKET_CLOSED</v>
      </c>
      <c r="G12" s="3" t="str" cm="1">
        <f t="array" ref="G12">IFERROR(INDEX(_xlfn._xlws.FILTER(market_overview[market_outlier_flag],market_overview[category]="Japan Equity"),7),"")</f>
        <v>OK</v>
      </c>
    </row>
    <row r="13" spans="1:17" x14ac:dyDescent="0.2">
      <c r="A13" s="3" t="str" cm="1">
        <f t="array" ref="A13">IFERROR(INDEX(_xlfn._xlws.FILTER(market_overview[symbol],market_overview[category]="Japan Equity"),8),"")</f>
        <v>8306.T</v>
      </c>
      <c r="B13" s="3" t="str" cm="1">
        <f t="array" ref="B13">IFERROR(INDEX(_xlfn._xlws.FILTER(market_overview[name],market_overview[category]="Japan Equity"),8),"")</f>
        <v>Mitsubishi UFJ Financial Group</v>
      </c>
      <c r="C13" s="8" cm="1">
        <f t="array" ref="C13">IFERROR(INDEX(_xlfn._xlws.FILTER(market_overview[price],market_overview[category]="Japan Equity"),8),"")</f>
        <v>3581</v>
      </c>
      <c r="D13" s="9" cm="1">
        <f t="array" ref="D13">IFERROR(INDEX(_xlfn._xlws.FILTER(market_overview[move_bps],market_overview[category]="Japan Equity"),8),"")</f>
        <v>5.5881531153945119</v>
      </c>
      <c r="E13" s="48" cm="1">
        <f t="array" ref="E13">IFERROR(INDEX(_xlfn._xlws.FILTER(market_overview[market_age_minutes],market_overview[category]="Japan Equity"),8),"")</f>
        <v>919.0088565333333</v>
      </c>
      <c r="F13" s="3" t="str" cm="1">
        <f t="array" ref="F13">IF(A13="","",_xlfn.LET(_xlpm.op,INDEX(_xlfn._xlws.FILTER(market_overview[market_expected_open],market_overview[category]="Japan Equity"),8),_xlpm.s,INDEX(_xlfn._xlws.FILTER(market_overview[market_stale_flag],market_overview[category]="Japan Equity"),8),IF(_xlpm.op="NO","MARKET_CLOSED",_xlpm.s)))</f>
        <v>MARKET_CLOSED</v>
      </c>
      <c r="G13" s="3" t="str" cm="1">
        <f t="array" ref="G13">IFERROR(INDEX(_xlfn._xlws.FILTER(market_overview[market_outlier_flag],market_overview[category]="Japan Equity"),8),"")</f>
        <v>OK</v>
      </c>
    </row>
    <row r="14" spans="1:17" x14ac:dyDescent="0.2">
      <c r="A14" s="3" t="str" cm="1">
        <f t="array" ref="A14">IFERROR(INDEX(_xlfn._xlws.FILTER(market_overview[symbol],market_overview[category]="Japan Equity"),9),"")</f>
        <v>9983.T</v>
      </c>
      <c r="B14" s="3" t="str" cm="1">
        <f t="array" ref="B14">IFERROR(INDEX(_xlfn._xlws.FILTER(market_overview[name],market_overview[category]="Japan Equity"),9),"")</f>
        <v>Fast Retailing</v>
      </c>
      <c r="C14" s="8" cm="1">
        <f t="array" ref="C14">IFERROR(INDEX(_xlfn._xlws.FILTER(market_overview[price],market_overview[category]="Japan Equity"),9),"")</f>
        <v>67860</v>
      </c>
      <c r="D14" s="9" cm="1">
        <f t="array" ref="D14">IFERROR(INDEX(_xlfn._xlws.FILTER(market_overview[move_bps],market_overview[category]="Japan Equity"),9),"")</f>
        <v>-10.304725452672248</v>
      </c>
      <c r="E14" s="48" cm="1">
        <f t="array" ref="E14">IFERROR(INDEX(_xlfn._xlws.FILTER(market_overview[market_age_minutes],market_overview[category]="Japan Equity"),9),"")</f>
        <v>919.0088565333333</v>
      </c>
      <c r="F14" s="3" t="str" cm="1">
        <f t="array" ref="F14">IF(A14="","",_xlfn.LET(_xlpm.op,INDEX(_xlfn._xlws.FILTER(market_overview[market_expected_open],market_overview[category]="Japan Equity"),9),_xlpm.s,INDEX(_xlfn._xlws.FILTER(market_overview[market_stale_flag],market_overview[category]="Japan Equity"),9),IF(_xlpm.op="NO","MARKET_CLOSED",_xlpm.s)))</f>
        <v>MARKET_CLOSED</v>
      </c>
      <c r="G14" s="3" t="str" cm="1">
        <f t="array" ref="G14">IFERROR(INDEX(_xlfn._xlws.FILTER(market_overview[market_outlier_flag],market_overview[category]="Japan Equity"),9),"")</f>
        <v>OK</v>
      </c>
    </row>
    <row r="15" spans="1:17" x14ac:dyDescent="0.2">
      <c r="A15" s="3" t="str" cm="1">
        <f t="array" ref="A15">IFERROR(INDEX(_xlfn._xlws.FILTER(market_overview[symbol],market_overview[category]="Japan Equity"),10),"")</f>
        <v>9984.T</v>
      </c>
      <c r="B15" s="3" t="str" cm="1">
        <f t="array" ref="B15">IFERROR(INDEX(_xlfn._xlws.FILTER(market_overview[name],market_overview[category]="Japan Equity"),10),"")</f>
        <v>SoftBank Group</v>
      </c>
      <c r="C15" s="8" cm="1">
        <f t="array" ref="C15">IFERROR(INDEX(_xlfn._xlws.FILTER(market_overview[price],market_overview[category]="Japan Equity"),10),"")</f>
        <v>6369</v>
      </c>
      <c r="D15" s="9" cm="1">
        <f t="array" ref="D15">IFERROR(INDEX(_xlfn._xlws.FILTER(market_overview[move_bps],market_overview[category]="Japan Equity"),10),"")</f>
        <v>-32.863849765257804</v>
      </c>
      <c r="E15" s="48" cm="1">
        <f t="array" ref="E15">IFERROR(INDEX(_xlfn._xlws.FILTER(market_overview[market_age_minutes],market_overview[category]="Japan Equity"),10),"")</f>
        <v>919.0088565333333</v>
      </c>
      <c r="F15" s="3" t="str" cm="1">
        <f t="array" ref="F15">IF(A15="","",_xlfn.LET(_xlpm.op,INDEX(_xlfn._xlws.FILTER(market_overview[market_expected_open],market_overview[category]="Japan Equity"),10),_xlpm.s,INDEX(_xlfn._xlws.FILTER(market_overview[market_stale_flag],market_overview[category]="Japan Equity"),10),IF(_xlpm.op="NO","MARKET_CLOSED",_xlpm.s)))</f>
        <v>MARKET_CLOSED</v>
      </c>
      <c r="G15" s="3" t="str" cm="1">
        <f t="array" ref="G15">IFERROR(INDEX(_xlfn._xlws.FILTER(market_overview[market_outlier_flag],market_overview[category]="Japan Equity"),10),"")</f>
        <v>OK</v>
      </c>
    </row>
    <row r="16" spans="1:17" x14ac:dyDescent="0.2">
      <c r="A16" s="3" t="str" cm="1">
        <f t="array" ref="A16">IFERROR(INDEX(_xlfn._xlws.FILTER(market_overview[symbol],market_overview[category]="Japan Equity"),11),"")</f>
        <v/>
      </c>
      <c r="B16" s="3" t="str" cm="1">
        <f t="array" ref="B16">IFERROR(INDEX(_xlfn._xlws.FILTER(market_overview[name],market_overview[category]="Japan Equity"),11),"")</f>
        <v/>
      </c>
      <c r="C16" s="8" t="str" cm="1">
        <f t="array" ref="C16">IFERROR(INDEX(_xlfn._xlws.FILTER(market_overview[price],market_overview[category]="Japan Equity"),11),"")</f>
        <v/>
      </c>
      <c r="D16" s="9" t="str" cm="1">
        <f t="array" ref="D16">IFERROR(INDEX(_xlfn._xlws.FILTER(market_overview[move_bps],market_overview[category]="Japan Equity"),11),"")</f>
        <v/>
      </c>
      <c r="E16" s="48" t="str" cm="1">
        <f t="array" ref="E16">IFERROR(INDEX(_xlfn._xlws.FILTER(market_overview[market_age_minutes],market_overview[category]="Japan Equity"),11),"")</f>
        <v/>
      </c>
      <c r="F16" s="3" t="str" cm="1">
        <f t="array" ref="F16">IF(A16="","",_xlfn.LET(_xlpm.op,INDEX(_xlfn._xlws.FILTER(market_overview[market_expected_open],market_overview[category]="Japan Equity"),11),_xlpm.s,INDEX(_xlfn._xlws.FILTER(market_overview[market_stale_flag],market_overview[category]="Japan Equity"),11),IF(_xlpm.op="NO","MARKET_CLOSED",_xlpm.s)))</f>
        <v/>
      </c>
      <c r="G16" s="3" t="str" cm="1">
        <f t="array" ref="G16">IFERROR(INDEX(_xlfn._xlws.FILTER(market_overview[market_outlier_flag],market_overview[category]="Japan Equity"),11),"")</f>
        <v/>
      </c>
    </row>
    <row r="17" spans="1:7" x14ac:dyDescent="0.2">
      <c r="A17" s="3" t="str" cm="1">
        <f t="array" ref="A17">IFERROR(INDEX(_xlfn._xlws.FILTER(market_overview[symbol],market_overview[category]="Japan Equity"),12),"")</f>
        <v/>
      </c>
      <c r="B17" s="3" t="str" cm="1">
        <f t="array" ref="B17">IFERROR(INDEX(_xlfn._xlws.FILTER(market_overview[name],market_overview[category]="Japan Equity"),12),"")</f>
        <v/>
      </c>
      <c r="C17" s="8" t="str" cm="1">
        <f t="array" ref="C17">IFERROR(INDEX(_xlfn._xlws.FILTER(market_overview[price],market_overview[category]="Japan Equity"),12),"")</f>
        <v/>
      </c>
      <c r="D17" s="9" t="str" cm="1">
        <f t="array" ref="D17">IFERROR(INDEX(_xlfn._xlws.FILTER(market_overview[move_bps],market_overview[category]="Japan Equity"),12),"")</f>
        <v/>
      </c>
      <c r="E17" s="48" t="str" cm="1">
        <f t="array" ref="E17">IFERROR(INDEX(_xlfn._xlws.FILTER(market_overview[market_age_minutes],market_overview[category]="Japan Equity"),12),"")</f>
        <v/>
      </c>
      <c r="F17" s="3" t="str" cm="1">
        <f t="array" ref="F17">IF(A17="","",_xlfn.LET(_xlpm.op,INDEX(_xlfn._xlws.FILTER(market_overview[market_expected_open],market_overview[category]="Japan Equity"),12),_xlpm.s,INDEX(_xlfn._xlws.FILTER(market_overview[market_stale_flag],market_overview[category]="Japan Equity"),12),IF(_xlpm.op="NO","MARKET_CLOSED",_xlpm.s)))</f>
        <v/>
      </c>
      <c r="G17" s="3" t="str" cm="1">
        <f t="array" ref="G17">IFERROR(INDEX(_xlfn._xlws.FILTER(market_overview[market_outlier_flag],market_overview[category]="Japan Equity"),12),"")</f>
        <v/>
      </c>
    </row>
    <row r="18" spans="1:7" x14ac:dyDescent="0.2">
      <c r="A18" s="3" t="str" cm="1">
        <f t="array" ref="A18">IFERROR(INDEX(_xlfn._xlws.FILTER(market_overview[symbol],market_overview[category]="Japan Equity"),13),"")</f>
        <v/>
      </c>
      <c r="B18" s="3" t="str" cm="1">
        <f t="array" ref="B18">IFERROR(INDEX(_xlfn._xlws.FILTER(market_overview[name],market_overview[category]="Japan Equity"),13),"")</f>
        <v/>
      </c>
      <c r="C18" s="8" t="str" cm="1">
        <f t="array" ref="C18">IFERROR(INDEX(_xlfn._xlws.FILTER(market_overview[price],market_overview[category]="Japan Equity"),13),"")</f>
        <v/>
      </c>
      <c r="D18" s="9" t="str" cm="1">
        <f t="array" ref="D18">IFERROR(INDEX(_xlfn._xlws.FILTER(market_overview[move_bps],market_overview[category]="Japan Equity"),13),"")</f>
        <v/>
      </c>
      <c r="E18" s="48" t="str" cm="1">
        <f t="array" ref="E18">IFERROR(INDEX(_xlfn._xlws.FILTER(market_overview[market_age_minutes],market_overview[category]="Japan Equity"),13),"")</f>
        <v/>
      </c>
      <c r="F18" s="3" t="str" cm="1">
        <f t="array" ref="F18">IF(A18="","",_xlfn.LET(_xlpm.op,INDEX(_xlfn._xlws.FILTER(market_overview[market_expected_open],market_overview[category]="Japan Equity"),13),_xlpm.s,INDEX(_xlfn._xlws.FILTER(market_overview[market_stale_flag],market_overview[category]="Japan Equity"),13),IF(_xlpm.op="NO","MARKET_CLOSED",_xlpm.s)))</f>
        <v/>
      </c>
      <c r="G18" s="3" t="str" cm="1">
        <f t="array" ref="G18">IFERROR(INDEX(_xlfn._xlws.FILTER(market_overview[market_outlier_flag],market_overview[category]="Japan Equity"),13),"")</f>
        <v/>
      </c>
    </row>
    <row r="19" spans="1:7" x14ac:dyDescent="0.2">
      <c r="A19" s="3" t="str" cm="1">
        <f t="array" ref="A19">IFERROR(INDEX(_xlfn._xlws.FILTER(market_overview[symbol],market_overview[category]="Japan Equity"),14),"")</f>
        <v/>
      </c>
      <c r="B19" s="3" t="str" cm="1">
        <f t="array" ref="B19">IFERROR(INDEX(_xlfn._xlws.FILTER(market_overview[name],market_overview[category]="Japan Equity"),14),"")</f>
        <v/>
      </c>
      <c r="C19" s="8" t="str" cm="1">
        <f t="array" ref="C19">IFERROR(INDEX(_xlfn._xlws.FILTER(market_overview[price],market_overview[category]="Japan Equity"),14),"")</f>
        <v/>
      </c>
      <c r="D19" s="9" t="str" cm="1">
        <f t="array" ref="D19">IFERROR(INDEX(_xlfn._xlws.FILTER(market_overview[move_bps],market_overview[category]="Japan Equity"),14),"")</f>
        <v/>
      </c>
      <c r="E19" s="48" t="str" cm="1">
        <f t="array" ref="E19">IFERROR(INDEX(_xlfn._xlws.FILTER(market_overview[market_age_minutes],market_overview[category]="Japan Equity"),14),"")</f>
        <v/>
      </c>
      <c r="F19" s="3" t="str" cm="1">
        <f t="array" ref="F19">IF(A19="","",_xlfn.LET(_xlpm.op,INDEX(_xlfn._xlws.FILTER(market_overview[market_expected_open],market_overview[category]="Japan Equity"),14),_xlpm.s,INDEX(_xlfn._xlws.FILTER(market_overview[market_stale_flag],market_overview[category]="Japan Equity"),14),IF(_xlpm.op="NO","MARKET_CLOSED",_xlpm.s)))</f>
        <v/>
      </c>
      <c r="G19" s="3" t="str" cm="1">
        <f t="array" ref="G19">IFERROR(INDEX(_xlfn._xlws.FILTER(market_overview[market_outlier_flag],market_overview[category]="Japan Equity"),14),"")</f>
        <v/>
      </c>
    </row>
    <row r="20" spans="1:7" x14ac:dyDescent="0.2">
      <c r="A20" s="3" t="str" cm="1">
        <f t="array" ref="A20">IFERROR(INDEX(_xlfn._xlws.FILTER(market_overview[symbol],market_overview[category]="Japan Equity"),15),"")</f>
        <v/>
      </c>
      <c r="B20" s="3" t="str" cm="1">
        <f t="array" ref="B20">IFERROR(INDEX(_xlfn._xlws.FILTER(market_overview[name],market_overview[category]="Japan Equity"),15),"")</f>
        <v/>
      </c>
      <c r="C20" s="8" t="str" cm="1">
        <f t="array" ref="C20">IFERROR(INDEX(_xlfn._xlws.FILTER(market_overview[price],market_overview[category]="Japan Equity"),15),"")</f>
        <v/>
      </c>
      <c r="D20" s="9" t="str" cm="1">
        <f t="array" ref="D20">IFERROR(INDEX(_xlfn._xlws.FILTER(market_overview[move_bps],market_overview[category]="Japan Equity"),15),"")</f>
        <v/>
      </c>
      <c r="E20" s="48" t="str" cm="1">
        <f t="array" ref="E20">IFERROR(INDEX(_xlfn._xlws.FILTER(market_overview[market_age_minutes],market_overview[category]="Japan Equity"),15),"")</f>
        <v/>
      </c>
      <c r="F20" s="3" t="str" cm="1">
        <f t="array" ref="F20">IF(A20="","",_xlfn.LET(_xlpm.op,INDEX(_xlfn._xlws.FILTER(market_overview[market_expected_open],market_overview[category]="Japan Equity"),15),_xlpm.s,INDEX(_xlfn._xlws.FILTER(market_overview[market_stale_flag],market_overview[category]="Japan Equity"),15),IF(_xlpm.op="NO","MARKET_CLOSED",_xlpm.s)))</f>
        <v/>
      </c>
      <c r="G20" s="3" t="str" cm="1">
        <f t="array" ref="G20">IFERROR(INDEX(_xlfn._xlws.FILTER(market_overview[market_outlier_flag],market_overview[category]="Japan Equity"),15),"")</f>
        <v/>
      </c>
    </row>
    <row r="21" spans="1:7" x14ac:dyDescent="0.2">
      <c r="A21" s="3" t="str" cm="1">
        <f t="array" ref="A21">IFERROR(INDEX(_xlfn._xlws.FILTER(market_overview[symbol],market_overview[category]="Japan Equity"),16),"")</f>
        <v/>
      </c>
      <c r="B21" s="3" t="str" cm="1">
        <f t="array" ref="B21">IFERROR(INDEX(_xlfn._xlws.FILTER(market_overview[name],market_overview[category]="Japan Equity"),16),"")</f>
        <v/>
      </c>
      <c r="C21" s="8" t="str" cm="1">
        <f t="array" ref="C21">IFERROR(INDEX(_xlfn._xlws.FILTER(market_overview[price],market_overview[category]="Japan Equity"),16),"")</f>
        <v/>
      </c>
      <c r="D21" s="9" t="str" cm="1">
        <f t="array" ref="D21">IFERROR(INDEX(_xlfn._xlws.FILTER(market_overview[move_bps],market_overview[category]="Japan Equity"),16),"")</f>
        <v/>
      </c>
      <c r="E21" s="48" t="str" cm="1">
        <f t="array" ref="E21">IFERROR(INDEX(_xlfn._xlws.FILTER(market_overview[market_age_minutes],market_overview[category]="Japan Equity"),16),"")</f>
        <v/>
      </c>
      <c r="F21" s="3" t="str" cm="1">
        <f t="array" ref="F21">IF(A21="","",_xlfn.LET(_xlpm.op,INDEX(_xlfn._xlws.FILTER(market_overview[market_expected_open],market_overview[category]="Japan Equity"),16),_xlpm.s,INDEX(_xlfn._xlws.FILTER(market_overview[market_stale_flag],market_overview[category]="Japan Equity"),16),IF(_xlpm.op="NO","MARKET_CLOSED",_xlpm.s)))</f>
        <v/>
      </c>
      <c r="G21" s="3" t="str" cm="1">
        <f t="array" ref="G21">IFERROR(INDEX(_xlfn._xlws.FILTER(market_overview[market_outlier_flag],market_overview[category]="Japan Equity"),16),"")</f>
        <v/>
      </c>
    </row>
    <row r="22" spans="1:7" x14ac:dyDescent="0.2">
      <c r="A22" s="3" t="str" cm="1">
        <f t="array" ref="A22">IFERROR(INDEX(_xlfn._xlws.FILTER(market_overview[symbol],market_overview[category]="Japan Equity"),17),"")</f>
        <v/>
      </c>
      <c r="B22" s="3" t="str" cm="1">
        <f t="array" ref="B22">IFERROR(INDEX(_xlfn._xlws.FILTER(market_overview[name],market_overview[category]="Japan Equity"),17),"")</f>
        <v/>
      </c>
      <c r="C22" s="8" t="str" cm="1">
        <f t="array" ref="C22">IFERROR(INDEX(_xlfn._xlws.FILTER(market_overview[price],market_overview[category]="Japan Equity"),17),"")</f>
        <v/>
      </c>
      <c r="D22" s="9" t="str" cm="1">
        <f t="array" ref="D22">IFERROR(INDEX(_xlfn._xlws.FILTER(market_overview[move_bps],market_overview[category]="Japan Equity"),17),"")</f>
        <v/>
      </c>
      <c r="E22" s="48" t="str" cm="1">
        <f t="array" ref="E22">IFERROR(INDEX(_xlfn._xlws.FILTER(market_overview[market_age_minutes],market_overview[category]="Japan Equity"),17),"")</f>
        <v/>
      </c>
      <c r="F22" s="3" t="str" cm="1">
        <f t="array" ref="F22">IF(A22="","",_xlfn.LET(_xlpm.op,INDEX(_xlfn._xlws.FILTER(market_overview[market_expected_open],market_overview[category]="Japan Equity"),17),_xlpm.s,INDEX(_xlfn._xlws.FILTER(market_overview[market_stale_flag],market_overview[category]="Japan Equity"),17),IF(_xlpm.op="NO","MARKET_CLOSED",_xlpm.s)))</f>
        <v/>
      </c>
      <c r="G22" s="3" t="str" cm="1">
        <f t="array" ref="G22">IFERROR(INDEX(_xlfn._xlws.FILTER(market_overview[market_outlier_flag],market_overview[category]="Japan Equity"),17),"")</f>
        <v/>
      </c>
    </row>
    <row r="23" spans="1:7" x14ac:dyDescent="0.2">
      <c r="A23" s="3" t="str" cm="1">
        <f t="array" ref="A23">IFERROR(INDEX(_xlfn._xlws.FILTER(market_overview[symbol],market_overview[category]="Japan Equity"),18),"")</f>
        <v/>
      </c>
      <c r="B23" s="3" t="str" cm="1">
        <f t="array" ref="B23">IFERROR(INDEX(_xlfn._xlws.FILTER(market_overview[name],market_overview[category]="Japan Equity"),18),"")</f>
        <v/>
      </c>
      <c r="C23" s="8" t="str" cm="1">
        <f t="array" ref="C23">IFERROR(INDEX(_xlfn._xlws.FILTER(market_overview[price],market_overview[category]="Japan Equity"),18),"")</f>
        <v/>
      </c>
      <c r="D23" s="9" t="str" cm="1">
        <f t="array" ref="D23">IFERROR(INDEX(_xlfn._xlws.FILTER(market_overview[move_bps],market_overview[category]="Japan Equity"),18),"")</f>
        <v/>
      </c>
      <c r="E23" s="48" t="str" cm="1">
        <f t="array" ref="E23">IFERROR(INDEX(_xlfn._xlws.FILTER(market_overview[market_age_minutes],market_overview[category]="Japan Equity"),18),"")</f>
        <v/>
      </c>
      <c r="F23" s="3" t="str" cm="1">
        <f t="array" ref="F23">IF(A23="","",_xlfn.LET(_xlpm.op,INDEX(_xlfn._xlws.FILTER(market_overview[market_expected_open],market_overview[category]="Japan Equity"),18),_xlpm.s,INDEX(_xlfn._xlws.FILTER(market_overview[market_stale_flag],market_overview[category]="Japan Equity"),18),IF(_xlpm.op="NO","MARKET_CLOSED",_xlpm.s)))</f>
        <v/>
      </c>
      <c r="G23" s="3" t="str" cm="1">
        <f t="array" ref="G23">IFERROR(INDEX(_xlfn._xlws.FILTER(market_overview[market_outlier_flag],market_overview[category]="Japan Equity"),18),"")</f>
        <v/>
      </c>
    </row>
    <row r="24" spans="1:7" x14ac:dyDescent="0.2">
      <c r="A24" s="3" t="str" cm="1">
        <f t="array" ref="A24">IFERROR(INDEX(_xlfn._xlws.FILTER(market_overview[symbol],market_overview[category]="Japan Equity"),19),"")</f>
        <v/>
      </c>
      <c r="B24" s="3" t="str" cm="1">
        <f t="array" ref="B24">IFERROR(INDEX(_xlfn._xlws.FILTER(market_overview[name],market_overview[category]="Japan Equity"),19),"")</f>
        <v/>
      </c>
      <c r="C24" s="8" t="str" cm="1">
        <f t="array" ref="C24">IFERROR(INDEX(_xlfn._xlws.FILTER(market_overview[price],market_overview[category]="Japan Equity"),19),"")</f>
        <v/>
      </c>
      <c r="D24" s="9" t="str" cm="1">
        <f t="array" ref="D24">IFERROR(INDEX(_xlfn._xlws.FILTER(market_overview[move_bps],market_overview[category]="Japan Equity"),19),"")</f>
        <v/>
      </c>
      <c r="E24" s="48" t="str" cm="1">
        <f t="array" ref="E24">IFERROR(INDEX(_xlfn._xlws.FILTER(market_overview[market_age_minutes],market_overview[category]="Japan Equity"),19),"")</f>
        <v/>
      </c>
      <c r="F24" s="3" t="str" cm="1">
        <f t="array" ref="F24">IF(A24="","",_xlfn.LET(_xlpm.op,INDEX(_xlfn._xlws.FILTER(market_overview[market_expected_open],market_overview[category]="Japan Equity"),19),_xlpm.s,INDEX(_xlfn._xlws.FILTER(market_overview[market_stale_flag],market_overview[category]="Japan Equity"),19),IF(_xlpm.op="NO","MARKET_CLOSED",_xlpm.s)))</f>
        <v/>
      </c>
      <c r="G24" s="3" t="str" cm="1">
        <f t="array" ref="G24">IFERROR(INDEX(_xlfn._xlws.FILTER(market_overview[market_outlier_flag],market_overview[category]="Japan Equity"),19),"")</f>
        <v/>
      </c>
    </row>
    <row r="25" spans="1:7" x14ac:dyDescent="0.2">
      <c r="A25" s="3" t="str" cm="1">
        <f t="array" ref="A25">IFERROR(INDEX(_xlfn._xlws.FILTER(market_overview[symbol],market_overview[category]="Japan Equity"),20),"")</f>
        <v/>
      </c>
      <c r="B25" s="3" t="str" cm="1">
        <f t="array" ref="B25">IFERROR(INDEX(_xlfn._xlws.FILTER(market_overview[name],market_overview[category]="Japan Equity"),20),"")</f>
        <v/>
      </c>
      <c r="C25" s="8" t="str" cm="1">
        <f t="array" ref="C25">IFERROR(INDEX(_xlfn._xlws.FILTER(market_overview[price],market_overview[category]="Japan Equity"),20),"")</f>
        <v/>
      </c>
      <c r="D25" s="9" t="str" cm="1">
        <f t="array" ref="D25">IFERROR(INDEX(_xlfn._xlws.FILTER(market_overview[move_bps],market_overview[category]="Japan Equity"),20),"")</f>
        <v/>
      </c>
      <c r="E25" s="48" t="str" cm="1">
        <f t="array" ref="E25">IFERROR(INDEX(_xlfn._xlws.FILTER(market_overview[market_age_minutes],market_overview[category]="Japan Equity"),20),"")</f>
        <v/>
      </c>
      <c r="F25" s="3" t="str" cm="1">
        <f t="array" ref="F25">IF(A25="","",_xlfn.LET(_xlpm.op,INDEX(_xlfn._xlws.FILTER(market_overview[market_expected_open],market_overview[category]="Japan Equity"),20),_xlpm.s,INDEX(_xlfn._xlws.FILTER(market_overview[market_stale_flag],market_overview[category]="Japan Equity"),20),IF(_xlpm.op="NO","MARKET_CLOSED",_xlpm.s)))</f>
        <v/>
      </c>
      <c r="G25" s="3" t="str" cm="1">
        <f t="array" ref="G25">IFERROR(INDEX(_xlfn._xlws.FILTER(market_overview[market_outlier_flag],market_overview[category]="Japan Equity"),20),"")</f>
        <v/>
      </c>
    </row>
    <row r="26" spans="1:7" x14ac:dyDescent="0.2">
      <c r="A26" s="3" t="str" cm="1">
        <f t="array" ref="A26">IFERROR(INDEX(_xlfn._xlws.FILTER(market_overview[symbol],market_overview[category]="Japan Equity"),21),"")</f>
        <v/>
      </c>
      <c r="B26" s="3" t="str" cm="1">
        <f t="array" ref="B26">IFERROR(INDEX(_xlfn._xlws.FILTER(market_overview[name],market_overview[category]="Japan Equity"),21),"")</f>
        <v/>
      </c>
      <c r="C26" s="8" t="str" cm="1">
        <f t="array" ref="C26">IFERROR(INDEX(_xlfn._xlws.FILTER(market_overview[price],market_overview[category]="Japan Equity"),21),"")</f>
        <v/>
      </c>
      <c r="D26" s="9" t="str" cm="1">
        <f t="array" ref="D26">IFERROR(INDEX(_xlfn._xlws.FILTER(market_overview[move_bps],market_overview[category]="Japan Equity"),21),"")</f>
        <v/>
      </c>
      <c r="E26" s="48" t="str" cm="1">
        <f t="array" ref="E26">IFERROR(INDEX(_xlfn._xlws.FILTER(market_overview[market_age_minutes],market_overview[category]="Japan Equity"),21),"")</f>
        <v/>
      </c>
      <c r="F26" s="3" t="str" cm="1">
        <f t="array" ref="F26">IF(A26="","",_xlfn.LET(_xlpm.op,INDEX(_xlfn._xlws.FILTER(market_overview[market_expected_open],market_overview[category]="Japan Equity"),21),_xlpm.s,INDEX(_xlfn._xlws.FILTER(market_overview[market_stale_flag],market_overview[category]="Japan Equity"),21),IF(_xlpm.op="NO","MARKET_CLOSED",_xlpm.s)))</f>
        <v/>
      </c>
      <c r="G26" s="3" t="str" cm="1">
        <f t="array" ref="G26">IFERROR(INDEX(_xlfn._xlws.FILTER(market_overview[market_outlier_flag],market_overview[category]="Japan Equity"),21),"")</f>
        <v/>
      </c>
    </row>
    <row r="27" spans="1:7" x14ac:dyDescent="0.2">
      <c r="A27" s="3" t="str" cm="1">
        <f t="array" ref="A27">IFERROR(INDEX(_xlfn._xlws.FILTER(market_overview[symbol],market_overview[category]="Japan Equity"),22),"")</f>
        <v/>
      </c>
      <c r="B27" s="3" t="str" cm="1">
        <f t="array" ref="B27">IFERROR(INDEX(_xlfn._xlws.FILTER(market_overview[name],market_overview[category]="Japan Equity"),22),"")</f>
        <v/>
      </c>
      <c r="C27" s="8" t="str" cm="1">
        <f t="array" ref="C27">IFERROR(INDEX(_xlfn._xlws.FILTER(market_overview[price],market_overview[category]="Japan Equity"),22),"")</f>
        <v/>
      </c>
      <c r="D27" s="9" t="str" cm="1">
        <f t="array" ref="D27">IFERROR(INDEX(_xlfn._xlws.FILTER(market_overview[move_bps],market_overview[category]="Japan Equity"),22),"")</f>
        <v/>
      </c>
      <c r="E27" s="48" t="str" cm="1">
        <f t="array" ref="E27">IFERROR(INDEX(_xlfn._xlws.FILTER(market_overview[market_age_minutes],market_overview[category]="Japan Equity"),22),"")</f>
        <v/>
      </c>
      <c r="F27" s="3" t="str" cm="1">
        <f t="array" ref="F27">IF(A27="","",_xlfn.LET(_xlpm.op,INDEX(_xlfn._xlws.FILTER(market_overview[market_expected_open],market_overview[category]="Japan Equity"),22),_xlpm.s,INDEX(_xlfn._xlws.FILTER(market_overview[market_stale_flag],market_overview[category]="Japan Equity"),22),IF(_xlpm.op="NO","MARKET_CLOSED",_xlpm.s)))</f>
        <v/>
      </c>
      <c r="G27" s="3" t="str" cm="1">
        <f t="array" ref="G27">IFERROR(INDEX(_xlfn._xlws.FILTER(market_overview[market_outlier_flag],market_overview[category]="Japan Equity"),22),"")</f>
        <v/>
      </c>
    </row>
    <row r="28" spans="1:7" x14ac:dyDescent="0.2">
      <c r="A28" s="3" t="str" cm="1">
        <f t="array" ref="A28">IFERROR(INDEX(_xlfn._xlws.FILTER(market_overview[symbol],market_overview[category]="Japan Equity"),23),"")</f>
        <v/>
      </c>
      <c r="B28" s="3" t="str" cm="1">
        <f t="array" ref="B28">IFERROR(INDEX(_xlfn._xlws.FILTER(market_overview[name],market_overview[category]="Japan Equity"),23),"")</f>
        <v/>
      </c>
      <c r="C28" s="8" t="str" cm="1">
        <f t="array" ref="C28">IFERROR(INDEX(_xlfn._xlws.FILTER(market_overview[price],market_overview[category]="Japan Equity"),23),"")</f>
        <v/>
      </c>
      <c r="D28" s="9" t="str" cm="1">
        <f t="array" ref="D28">IFERROR(INDEX(_xlfn._xlws.FILTER(market_overview[move_bps],market_overview[category]="Japan Equity"),23),"")</f>
        <v/>
      </c>
      <c r="E28" s="48" t="str" cm="1">
        <f t="array" ref="E28">IFERROR(INDEX(_xlfn._xlws.FILTER(market_overview[market_age_minutes],market_overview[category]="Japan Equity"),23),"")</f>
        <v/>
      </c>
      <c r="F28" s="3" t="str" cm="1">
        <f t="array" ref="F28">IF(A28="","",_xlfn.LET(_xlpm.op,INDEX(_xlfn._xlws.FILTER(market_overview[market_expected_open],market_overview[category]="Japan Equity"),23),_xlpm.s,INDEX(_xlfn._xlws.FILTER(market_overview[market_stale_flag],market_overview[category]="Japan Equity"),23),IF(_xlpm.op="NO","MARKET_CLOSED",_xlpm.s)))</f>
        <v/>
      </c>
      <c r="G28" s="3" t="str" cm="1">
        <f t="array" ref="G28">IFERROR(INDEX(_xlfn._xlws.FILTER(market_overview[market_outlier_flag],market_overview[category]="Japan Equity"),23),"")</f>
        <v/>
      </c>
    </row>
    <row r="29" spans="1:7" x14ac:dyDescent="0.2">
      <c r="A29" s="3" t="str" cm="1">
        <f t="array" ref="A29">IFERROR(INDEX(_xlfn._xlws.FILTER(market_overview[symbol],market_overview[category]="Japan Equity"),24),"")</f>
        <v/>
      </c>
      <c r="B29" s="3" t="str" cm="1">
        <f t="array" ref="B29">IFERROR(INDEX(_xlfn._xlws.FILTER(market_overview[name],market_overview[category]="Japan Equity"),24),"")</f>
        <v/>
      </c>
      <c r="C29" s="8" t="str" cm="1">
        <f t="array" ref="C29">IFERROR(INDEX(_xlfn._xlws.FILTER(market_overview[price],market_overview[category]="Japan Equity"),24),"")</f>
        <v/>
      </c>
      <c r="D29" s="9" t="str" cm="1">
        <f t="array" ref="D29">IFERROR(INDEX(_xlfn._xlws.FILTER(market_overview[move_bps],market_overview[category]="Japan Equity"),24),"")</f>
        <v/>
      </c>
      <c r="E29" s="48" t="str" cm="1">
        <f t="array" ref="E29">IFERROR(INDEX(_xlfn._xlws.FILTER(market_overview[market_age_minutes],market_overview[category]="Japan Equity"),24),"")</f>
        <v/>
      </c>
      <c r="F29" s="3" t="str" cm="1">
        <f t="array" ref="F29">IF(A29="","",_xlfn.LET(_xlpm.op,INDEX(_xlfn._xlws.FILTER(market_overview[market_expected_open],market_overview[category]="Japan Equity"),24),_xlpm.s,INDEX(_xlfn._xlws.FILTER(market_overview[market_stale_flag],market_overview[category]="Japan Equity"),24),IF(_xlpm.op="NO","MARKET_CLOSED",_xlpm.s)))</f>
        <v/>
      </c>
      <c r="G29" s="3" t="str" cm="1">
        <f t="array" ref="G29">IFERROR(INDEX(_xlfn._xlws.FILTER(market_overview[market_outlier_flag],market_overview[category]="Japan Equity"),24),"")</f>
        <v/>
      </c>
    </row>
    <row r="30" spans="1:7" x14ac:dyDescent="0.2">
      <c r="A30" s="3" t="str" cm="1">
        <f t="array" ref="A30">IFERROR(INDEX(_xlfn._xlws.FILTER(market_overview[symbol],market_overview[category]="Japan Equity"),25),"")</f>
        <v/>
      </c>
      <c r="B30" s="3" t="str" cm="1">
        <f t="array" ref="B30">IFERROR(INDEX(_xlfn._xlws.FILTER(market_overview[name],market_overview[category]="Japan Equity"),25),"")</f>
        <v/>
      </c>
      <c r="C30" s="8" t="str" cm="1">
        <f t="array" ref="C30">IFERROR(INDEX(_xlfn._xlws.FILTER(market_overview[price],market_overview[category]="Japan Equity"),25),"")</f>
        <v/>
      </c>
      <c r="D30" s="9" t="str" cm="1">
        <f t="array" ref="D30">IFERROR(INDEX(_xlfn._xlws.FILTER(market_overview[move_bps],market_overview[category]="Japan Equity"),25),"")</f>
        <v/>
      </c>
      <c r="E30" s="48" t="str" cm="1">
        <f t="array" ref="E30">IFERROR(INDEX(_xlfn._xlws.FILTER(market_overview[market_age_minutes],market_overview[category]="Japan Equity"),25),"")</f>
        <v/>
      </c>
      <c r="F30" s="3" t="str" cm="1">
        <f t="array" ref="F30">IF(A30="","",_xlfn.LET(_xlpm.op,INDEX(_xlfn._xlws.FILTER(market_overview[market_expected_open],market_overview[category]="Japan Equity"),25),_xlpm.s,INDEX(_xlfn._xlws.FILTER(market_overview[market_stale_flag],market_overview[category]="Japan Equity"),25),IF(_xlpm.op="NO","MARKET_CLOSED",_xlpm.s)))</f>
        <v/>
      </c>
      <c r="G30" s="3" t="str" cm="1">
        <f t="array" ref="G30">IFERROR(INDEX(_xlfn._xlws.FILTER(market_overview[market_outlier_flag],market_overview[category]="Japan Equity"),25),"")</f>
        <v/>
      </c>
    </row>
    <row r="31" spans="1:7" x14ac:dyDescent="0.2">
      <c r="C31" s="8"/>
      <c r="D31" s="9"/>
    </row>
    <row r="32" spans="1:7" x14ac:dyDescent="0.2">
      <c r="C32" s="8"/>
      <c r="D32" s="9"/>
    </row>
    <row r="33" spans="3:4" x14ac:dyDescent="0.2">
      <c r="C33" s="8"/>
      <c r="D33" s="9"/>
    </row>
    <row r="34" spans="3:4" x14ac:dyDescent="0.2">
      <c r="C34" s="8"/>
      <c r="D34" s="9"/>
    </row>
    <row r="35" spans="3:4" x14ac:dyDescent="0.2">
      <c r="C35" s="8"/>
      <c r="D35" s="9"/>
    </row>
    <row r="36" spans="3:4" x14ac:dyDescent="0.2">
      <c r="C36" s="8"/>
      <c r="D36" s="9"/>
    </row>
    <row r="37" spans="3:4" x14ac:dyDescent="0.2">
      <c r="C37" s="8"/>
      <c r="D37" s="9"/>
    </row>
    <row r="38" spans="3:4" x14ac:dyDescent="0.2">
      <c r="C38" s="8"/>
      <c r="D38" s="9"/>
    </row>
    <row r="39" spans="3:4" x14ac:dyDescent="0.2">
      <c r="C39" s="8"/>
      <c r="D39" s="9"/>
    </row>
    <row r="40" spans="3:4" x14ac:dyDescent="0.2">
      <c r="C40" s="8"/>
      <c r="D40" s="9"/>
    </row>
    <row r="41" spans="3:4" x14ac:dyDescent="0.2">
      <c r="C41" s="8"/>
      <c r="D41" s="9"/>
    </row>
    <row r="42" spans="3:4" x14ac:dyDescent="0.2">
      <c r="C42" s="8"/>
      <c r="D42" s="9"/>
    </row>
    <row r="43" spans="3:4" x14ac:dyDescent="0.2">
      <c r="C43" s="8"/>
      <c r="D43" s="9"/>
    </row>
    <row r="44" spans="3:4" x14ac:dyDescent="0.2">
      <c r="C44" s="8"/>
      <c r="D44" s="9"/>
    </row>
    <row r="45" spans="3:4" x14ac:dyDescent="0.2">
      <c r="C45" s="8"/>
      <c r="D45" s="9"/>
    </row>
    <row r="46" spans="3:4" x14ac:dyDescent="0.2">
      <c r="C46" s="8"/>
      <c r="D46" s="9"/>
    </row>
    <row r="47" spans="3:4" x14ac:dyDescent="0.2">
      <c r="C47" s="8"/>
      <c r="D47" s="9"/>
    </row>
    <row r="48" spans="3:4" x14ac:dyDescent="0.2">
      <c r="C48" s="8"/>
      <c r="D48" s="9"/>
    </row>
    <row r="49" spans="3:4" x14ac:dyDescent="0.2">
      <c r="C49" s="8"/>
      <c r="D49" s="9"/>
    </row>
    <row r="50" spans="3:4" x14ac:dyDescent="0.2">
      <c r="C50" s="8"/>
      <c r="D50" s="9"/>
    </row>
    <row r="51" spans="3:4" x14ac:dyDescent="0.2">
      <c r="C51" s="8"/>
      <c r="D51" s="9"/>
    </row>
    <row r="52" spans="3:4" x14ac:dyDescent="0.2">
      <c r="C52" s="8"/>
      <c r="D52" s="9"/>
    </row>
    <row r="53" spans="3:4" x14ac:dyDescent="0.2">
      <c r="C53" s="8"/>
      <c r="D53" s="9"/>
    </row>
    <row r="54" spans="3:4" x14ac:dyDescent="0.2">
      <c r="C54" s="8"/>
      <c r="D54" s="9"/>
    </row>
    <row r="55" spans="3:4" x14ac:dyDescent="0.2">
      <c r="C55" s="8"/>
      <c r="D55" s="9"/>
    </row>
    <row r="56" spans="3:4" x14ac:dyDescent="0.2">
      <c r="C56" s="8"/>
      <c r="D56" s="9"/>
    </row>
    <row r="57" spans="3:4" x14ac:dyDescent="0.2">
      <c r="C57" s="8"/>
      <c r="D57" s="9"/>
    </row>
    <row r="58" spans="3:4" x14ac:dyDescent="0.2">
      <c r="C58" s="8"/>
      <c r="D58" s="9"/>
    </row>
    <row r="59" spans="3:4" x14ac:dyDescent="0.2">
      <c r="C59" s="8"/>
      <c r="D59" s="9"/>
    </row>
    <row r="60" spans="3:4" x14ac:dyDescent="0.2">
      <c r="C60" s="8"/>
      <c r="D60" s="9"/>
    </row>
    <row r="61" spans="3:4" x14ac:dyDescent="0.2">
      <c r="C61" s="8"/>
      <c r="D61" s="9"/>
    </row>
    <row r="62" spans="3:4" x14ac:dyDescent="0.2">
      <c r="C62" s="8"/>
      <c r="D62" s="9"/>
    </row>
    <row r="63" spans="3:4" x14ac:dyDescent="0.2">
      <c r="C63" s="8"/>
      <c r="D63" s="9"/>
    </row>
    <row r="64" spans="3:4" x14ac:dyDescent="0.2">
      <c r="C64" s="8"/>
      <c r="D64" s="9"/>
    </row>
    <row r="65" spans="3:4" x14ac:dyDescent="0.2">
      <c r="C65" s="8"/>
      <c r="D65" s="9"/>
    </row>
    <row r="66" spans="3:4" x14ac:dyDescent="0.2">
      <c r="C66" s="8"/>
      <c r="D66" s="9"/>
    </row>
    <row r="67" spans="3:4" x14ac:dyDescent="0.2">
      <c r="C67" s="8"/>
      <c r="D67" s="9"/>
    </row>
    <row r="68" spans="3:4" x14ac:dyDescent="0.2">
      <c r="C68" s="8"/>
      <c r="D68" s="9"/>
    </row>
    <row r="69" spans="3:4" x14ac:dyDescent="0.2">
      <c r="C69" s="8"/>
      <c r="D69" s="9"/>
    </row>
    <row r="70" spans="3:4" x14ac:dyDescent="0.2">
      <c r="C70" s="8"/>
      <c r="D70" s="9"/>
    </row>
    <row r="71" spans="3:4" x14ac:dyDescent="0.2">
      <c r="C71" s="8"/>
      <c r="D71" s="9"/>
    </row>
    <row r="72" spans="3:4" x14ac:dyDescent="0.2">
      <c r="C72" s="8"/>
      <c r="D72" s="9"/>
    </row>
    <row r="73" spans="3:4" x14ac:dyDescent="0.2">
      <c r="C73" s="8"/>
      <c r="D73" s="9"/>
    </row>
    <row r="74" spans="3:4" x14ac:dyDescent="0.2">
      <c r="C74" s="8"/>
      <c r="D74" s="9"/>
    </row>
    <row r="75" spans="3:4" x14ac:dyDescent="0.2">
      <c r="C75" s="8"/>
      <c r="D75" s="9"/>
    </row>
    <row r="76" spans="3:4" x14ac:dyDescent="0.2">
      <c r="C76" s="8"/>
      <c r="D76" s="9"/>
    </row>
    <row r="77" spans="3:4" x14ac:dyDescent="0.2">
      <c r="C77" s="8"/>
      <c r="D77" s="9"/>
    </row>
    <row r="78" spans="3:4" x14ac:dyDescent="0.2">
      <c r="C78" s="8"/>
      <c r="D78" s="9"/>
    </row>
    <row r="79" spans="3:4" x14ac:dyDescent="0.2">
      <c r="C79" s="8"/>
      <c r="D79" s="9"/>
    </row>
    <row r="80" spans="3:4" x14ac:dyDescent="0.2">
      <c r="C80" s="8"/>
      <c r="D80" s="9"/>
    </row>
    <row r="81" spans="3:4" x14ac:dyDescent="0.2">
      <c r="C81" s="8"/>
      <c r="D81" s="9"/>
    </row>
    <row r="82" spans="3:4" x14ac:dyDescent="0.2">
      <c r="C82" s="8"/>
      <c r="D82" s="9"/>
    </row>
    <row r="83" spans="3:4" x14ac:dyDescent="0.2">
      <c r="C83" s="8"/>
      <c r="D83" s="9"/>
    </row>
    <row r="84" spans="3:4" x14ac:dyDescent="0.2">
      <c r="C84" s="8"/>
      <c r="D84" s="9"/>
    </row>
    <row r="85" spans="3:4" x14ac:dyDescent="0.2">
      <c r="C85" s="8"/>
      <c r="D85" s="9"/>
    </row>
    <row r="86" spans="3:4" x14ac:dyDescent="0.2">
      <c r="C86" s="8"/>
      <c r="D86" s="9"/>
    </row>
    <row r="87" spans="3:4" x14ac:dyDescent="0.2">
      <c r="C87" s="8"/>
      <c r="D87" s="9"/>
    </row>
    <row r="88" spans="3:4" x14ac:dyDescent="0.2">
      <c r="C88" s="8"/>
      <c r="D88" s="9"/>
    </row>
    <row r="89" spans="3:4" x14ac:dyDescent="0.2">
      <c r="C89" s="8"/>
      <c r="D89" s="9"/>
    </row>
    <row r="90" spans="3:4" x14ac:dyDescent="0.2">
      <c r="C90" s="8"/>
      <c r="D90" s="9"/>
    </row>
    <row r="91" spans="3:4" x14ac:dyDescent="0.2">
      <c r="C91" s="8"/>
      <c r="D91" s="9"/>
    </row>
    <row r="92" spans="3:4" x14ac:dyDescent="0.2">
      <c r="C92" s="8"/>
      <c r="D92" s="9"/>
    </row>
    <row r="93" spans="3:4" x14ac:dyDescent="0.2">
      <c r="C93" s="8"/>
      <c r="D93" s="9"/>
    </row>
    <row r="94" spans="3:4" x14ac:dyDescent="0.2">
      <c r="C94" s="8"/>
      <c r="D94" s="9"/>
    </row>
    <row r="95" spans="3:4" x14ac:dyDescent="0.2">
      <c r="C95" s="8"/>
      <c r="D95" s="9"/>
    </row>
    <row r="96" spans="3:4" x14ac:dyDescent="0.2">
      <c r="C96" s="8"/>
      <c r="D96" s="9"/>
    </row>
    <row r="97" spans="3:4" x14ac:dyDescent="0.2">
      <c r="C97" s="8"/>
      <c r="D97" s="9"/>
    </row>
    <row r="98" spans="3:4" x14ac:dyDescent="0.2">
      <c r="C98" s="8"/>
      <c r="D98" s="9"/>
    </row>
    <row r="99" spans="3:4" x14ac:dyDescent="0.2">
      <c r="C99" s="8"/>
      <c r="D99" s="9"/>
    </row>
    <row r="100" spans="3:4" x14ac:dyDescent="0.2">
      <c r="C100" s="8"/>
      <c r="D100" s="9"/>
    </row>
    <row r="101" spans="3:4" x14ac:dyDescent="0.2">
      <c r="C101" s="8"/>
      <c r="D101" s="9"/>
    </row>
    <row r="102" spans="3:4" x14ac:dyDescent="0.2">
      <c r="C102" s="8"/>
      <c r="D102" s="9"/>
    </row>
    <row r="103" spans="3:4" x14ac:dyDescent="0.2">
      <c r="C103" s="8"/>
      <c r="D103" s="9"/>
    </row>
    <row r="104" spans="3:4" x14ac:dyDescent="0.2">
      <c r="C104" s="8"/>
      <c r="D104" s="9"/>
    </row>
    <row r="105" spans="3:4" x14ac:dyDescent="0.2">
      <c r="C105" s="8"/>
      <c r="D105" s="9"/>
    </row>
    <row r="106" spans="3:4" x14ac:dyDescent="0.2">
      <c r="C106" s="8"/>
      <c r="D106" s="9"/>
    </row>
    <row r="107" spans="3:4" x14ac:dyDescent="0.2">
      <c r="C107" s="8"/>
      <c r="D107" s="9"/>
    </row>
    <row r="108" spans="3:4" x14ac:dyDescent="0.2">
      <c r="C108" s="8"/>
      <c r="D108" s="9"/>
    </row>
    <row r="109" spans="3:4" x14ac:dyDescent="0.2">
      <c r="C109" s="8"/>
      <c r="D109" s="9"/>
    </row>
    <row r="110" spans="3:4" x14ac:dyDescent="0.2">
      <c r="C110" s="8"/>
      <c r="D110" s="9"/>
    </row>
    <row r="111" spans="3:4" x14ac:dyDescent="0.2">
      <c r="C111" s="8"/>
      <c r="D111" s="9"/>
    </row>
    <row r="112" spans="3:4" x14ac:dyDescent="0.2">
      <c r="C112" s="8"/>
      <c r="D112" s="9"/>
    </row>
    <row r="113" spans="3:4" x14ac:dyDescent="0.2">
      <c r="C113" s="8"/>
      <c r="D113" s="9"/>
    </row>
    <row r="114" spans="3:4" x14ac:dyDescent="0.2">
      <c r="C114" s="8"/>
      <c r="D114" s="9"/>
    </row>
    <row r="115" spans="3:4" x14ac:dyDescent="0.2">
      <c r="C115" s="8"/>
      <c r="D115" s="9"/>
    </row>
    <row r="116" spans="3:4" x14ac:dyDescent="0.2">
      <c r="C116" s="8"/>
      <c r="D116" s="9"/>
    </row>
    <row r="117" spans="3:4" x14ac:dyDescent="0.2">
      <c r="C117" s="8"/>
      <c r="D117" s="9"/>
    </row>
    <row r="118" spans="3:4" x14ac:dyDescent="0.2">
      <c r="C118" s="8"/>
      <c r="D118" s="9"/>
    </row>
    <row r="119" spans="3:4" x14ac:dyDescent="0.2">
      <c r="C119" s="8"/>
      <c r="D119" s="9"/>
    </row>
    <row r="120" spans="3:4" x14ac:dyDescent="0.2">
      <c r="C120" s="8"/>
      <c r="D120" s="9"/>
    </row>
    <row r="121" spans="3:4" x14ac:dyDescent="0.2">
      <c r="C121" s="8"/>
      <c r="D121" s="9"/>
    </row>
    <row r="122" spans="3:4" x14ac:dyDescent="0.2">
      <c r="C122" s="8"/>
      <c r="D122" s="9"/>
    </row>
    <row r="123" spans="3:4" x14ac:dyDescent="0.2">
      <c r="C123" s="8"/>
      <c r="D123" s="9"/>
    </row>
    <row r="124" spans="3:4" x14ac:dyDescent="0.2">
      <c r="C124" s="8"/>
      <c r="D124" s="9"/>
    </row>
    <row r="125" spans="3:4" x14ac:dyDescent="0.2">
      <c r="C125" s="8"/>
      <c r="D125" s="9"/>
    </row>
    <row r="126" spans="3:4" x14ac:dyDescent="0.2">
      <c r="C126" s="8"/>
      <c r="D126" s="9"/>
    </row>
    <row r="127" spans="3:4" x14ac:dyDescent="0.2">
      <c r="C127" s="8"/>
      <c r="D127" s="9"/>
    </row>
    <row r="128" spans="3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  <row r="268" spans="3:4" x14ac:dyDescent="0.2">
      <c r="C268" s="8"/>
      <c r="D268" s="9"/>
    </row>
    <row r="269" spans="3:4" x14ac:dyDescent="0.2">
      <c r="C269" s="8"/>
      <c r="D269" s="9"/>
    </row>
    <row r="270" spans="3:4" x14ac:dyDescent="0.2">
      <c r="C270" s="8"/>
      <c r="D270" s="9"/>
    </row>
    <row r="271" spans="3:4" x14ac:dyDescent="0.2">
      <c r="C271" s="8"/>
      <c r="D271" s="9"/>
    </row>
    <row r="272" spans="3:4" x14ac:dyDescent="0.2">
      <c r="C272" s="8"/>
      <c r="D272" s="9"/>
    </row>
    <row r="273" spans="3:4" x14ac:dyDescent="0.2">
      <c r="C273" s="8"/>
      <c r="D273" s="9"/>
    </row>
    <row r="274" spans="3:4" x14ac:dyDescent="0.2">
      <c r="C274" s="8"/>
      <c r="D274" s="9"/>
    </row>
    <row r="275" spans="3:4" x14ac:dyDescent="0.2">
      <c r="C275" s="8"/>
      <c r="D275" s="9"/>
    </row>
    <row r="276" spans="3:4" x14ac:dyDescent="0.2">
      <c r="C276" s="8"/>
      <c r="D276" s="9"/>
    </row>
    <row r="277" spans="3:4" x14ac:dyDescent="0.2">
      <c r="C277" s="8"/>
      <c r="D277" s="9"/>
    </row>
    <row r="278" spans="3:4" x14ac:dyDescent="0.2">
      <c r="C278" s="8"/>
      <c r="D278" s="9"/>
    </row>
    <row r="279" spans="3:4" x14ac:dyDescent="0.2">
      <c r="C279" s="8"/>
      <c r="D279" s="9"/>
    </row>
    <row r="280" spans="3:4" x14ac:dyDescent="0.2">
      <c r="C280" s="8"/>
      <c r="D280" s="9"/>
    </row>
    <row r="281" spans="3:4" x14ac:dyDescent="0.2">
      <c r="C281" s="8"/>
      <c r="D281" s="9"/>
    </row>
    <row r="282" spans="3:4" x14ac:dyDescent="0.2">
      <c r="C282" s="8"/>
      <c r="D282" s="9"/>
    </row>
    <row r="283" spans="3:4" x14ac:dyDescent="0.2">
      <c r="C283" s="8"/>
      <c r="D283" s="9"/>
    </row>
    <row r="284" spans="3:4" x14ac:dyDescent="0.2">
      <c r="C284" s="8"/>
      <c r="D284" s="9"/>
    </row>
    <row r="285" spans="3:4" x14ac:dyDescent="0.2">
      <c r="C285" s="8"/>
      <c r="D285" s="9"/>
    </row>
    <row r="286" spans="3:4" x14ac:dyDescent="0.2">
      <c r="C286" s="8"/>
      <c r="D286" s="9"/>
    </row>
    <row r="287" spans="3:4" x14ac:dyDescent="0.2">
      <c r="C287" s="8"/>
      <c r="D287" s="9"/>
    </row>
    <row r="288" spans="3:4" x14ac:dyDescent="0.2">
      <c r="C288" s="8"/>
      <c r="D288" s="9"/>
    </row>
    <row r="289" spans="3:4" x14ac:dyDescent="0.2">
      <c r="C289" s="8"/>
      <c r="D289" s="9"/>
    </row>
    <row r="290" spans="3:4" x14ac:dyDescent="0.2">
      <c r="C290" s="8"/>
      <c r="D290" s="9"/>
    </row>
    <row r="291" spans="3:4" x14ac:dyDescent="0.2">
      <c r="C291" s="8"/>
      <c r="D291" s="9"/>
    </row>
    <row r="292" spans="3:4" x14ac:dyDescent="0.2">
      <c r="C292" s="8"/>
      <c r="D292" s="9"/>
    </row>
    <row r="293" spans="3:4" x14ac:dyDescent="0.2">
      <c r="C293" s="8"/>
      <c r="D293" s="9"/>
    </row>
    <row r="294" spans="3:4" x14ac:dyDescent="0.2">
      <c r="C294" s="8"/>
      <c r="D294" s="9"/>
    </row>
    <row r="295" spans="3:4" x14ac:dyDescent="0.2">
      <c r="C295" s="8"/>
      <c r="D295" s="9"/>
    </row>
    <row r="296" spans="3:4" x14ac:dyDescent="0.2">
      <c r="C296" s="8"/>
      <c r="D296" s="9"/>
    </row>
    <row r="297" spans="3:4" x14ac:dyDescent="0.2">
      <c r="C297" s="8"/>
      <c r="D297" s="9"/>
    </row>
    <row r="298" spans="3:4" x14ac:dyDescent="0.2">
      <c r="C298" s="8"/>
      <c r="D298" s="9"/>
    </row>
    <row r="299" spans="3:4" x14ac:dyDescent="0.2">
      <c r="C299" s="8"/>
      <c r="D299" s="9"/>
    </row>
    <row r="300" spans="3:4" x14ac:dyDescent="0.2">
      <c r="C300" s="8"/>
      <c r="D300" s="9"/>
    </row>
    <row r="301" spans="3:4" x14ac:dyDescent="0.2">
      <c r="C301" s="8"/>
      <c r="D301" s="9"/>
    </row>
    <row r="302" spans="3:4" x14ac:dyDescent="0.2">
      <c r="C302" s="8"/>
      <c r="D302" s="9"/>
    </row>
    <row r="303" spans="3:4" x14ac:dyDescent="0.2">
      <c r="C303" s="8"/>
      <c r="D303" s="9"/>
    </row>
    <row r="304" spans="3:4" x14ac:dyDescent="0.2">
      <c r="C304" s="8"/>
      <c r="D304" s="9"/>
    </row>
    <row r="305" spans="3:4" x14ac:dyDescent="0.2">
      <c r="C305" s="8"/>
      <c r="D305" s="9"/>
    </row>
    <row r="306" spans="3:4" x14ac:dyDescent="0.2">
      <c r="C306" s="8"/>
      <c r="D306" s="9"/>
    </row>
    <row r="307" spans="3:4" x14ac:dyDescent="0.2">
      <c r="C307" s="8"/>
      <c r="D307" s="9"/>
    </row>
    <row r="308" spans="3:4" x14ac:dyDescent="0.2">
      <c r="C308" s="8"/>
      <c r="D308" s="9"/>
    </row>
    <row r="309" spans="3:4" x14ac:dyDescent="0.2">
      <c r="C309" s="8"/>
      <c r="D309" s="9"/>
    </row>
    <row r="310" spans="3:4" x14ac:dyDescent="0.2">
      <c r="C310" s="8"/>
      <c r="D310" s="9"/>
    </row>
    <row r="311" spans="3:4" x14ac:dyDescent="0.2">
      <c r="C311" s="8"/>
      <c r="D311" s="9"/>
    </row>
    <row r="312" spans="3:4" x14ac:dyDescent="0.2">
      <c r="C312" s="8"/>
      <c r="D312" s="9"/>
    </row>
    <row r="313" spans="3:4" x14ac:dyDescent="0.2">
      <c r="C313" s="8"/>
      <c r="D313" s="9"/>
    </row>
    <row r="314" spans="3:4" x14ac:dyDescent="0.2">
      <c r="C314" s="8"/>
      <c r="D314" s="9"/>
    </row>
    <row r="315" spans="3:4" x14ac:dyDescent="0.2">
      <c r="C315" s="8"/>
      <c r="D315" s="9"/>
    </row>
    <row r="316" spans="3:4" x14ac:dyDescent="0.2">
      <c r="C316" s="8"/>
      <c r="D316" s="9"/>
    </row>
    <row r="317" spans="3:4" x14ac:dyDescent="0.2">
      <c r="C317" s="8"/>
      <c r="D317" s="9"/>
    </row>
    <row r="318" spans="3:4" x14ac:dyDescent="0.2">
      <c r="C318" s="8"/>
      <c r="D318" s="9"/>
    </row>
    <row r="319" spans="3:4" x14ac:dyDescent="0.2">
      <c r="C319" s="8"/>
      <c r="D319" s="9"/>
    </row>
    <row r="320" spans="3:4" x14ac:dyDescent="0.2">
      <c r="C320" s="8"/>
      <c r="D320" s="9"/>
    </row>
    <row r="321" spans="3:4" x14ac:dyDescent="0.2">
      <c r="C321" s="8"/>
      <c r="D321" s="9"/>
    </row>
    <row r="322" spans="3:4" x14ac:dyDescent="0.2">
      <c r="C322" s="8"/>
      <c r="D322" s="9"/>
    </row>
    <row r="323" spans="3:4" x14ac:dyDescent="0.2">
      <c r="C323" s="8"/>
      <c r="D323" s="9"/>
    </row>
    <row r="324" spans="3:4" x14ac:dyDescent="0.2">
      <c r="C324" s="8"/>
      <c r="D324" s="9"/>
    </row>
    <row r="325" spans="3:4" x14ac:dyDescent="0.2">
      <c r="C325" s="8"/>
      <c r="D325" s="9"/>
    </row>
    <row r="326" spans="3:4" x14ac:dyDescent="0.2">
      <c r="C326" s="8"/>
      <c r="D326" s="9"/>
    </row>
    <row r="327" spans="3:4" x14ac:dyDescent="0.2">
      <c r="C327" s="8"/>
      <c r="D327" s="9"/>
    </row>
    <row r="328" spans="3:4" x14ac:dyDescent="0.2">
      <c r="C328" s="8"/>
      <c r="D328" s="9"/>
    </row>
    <row r="329" spans="3:4" x14ac:dyDescent="0.2">
      <c r="C329" s="8"/>
      <c r="D329" s="9"/>
    </row>
    <row r="330" spans="3:4" x14ac:dyDescent="0.2">
      <c r="C330" s="8"/>
      <c r="D330" s="9"/>
    </row>
    <row r="331" spans="3:4" x14ac:dyDescent="0.2">
      <c r="C331" s="8"/>
      <c r="D331" s="9"/>
    </row>
    <row r="332" spans="3:4" x14ac:dyDescent="0.2">
      <c r="C332" s="8"/>
      <c r="D332" s="9"/>
    </row>
    <row r="333" spans="3:4" x14ac:dyDescent="0.2">
      <c r="C333" s="8"/>
      <c r="D333" s="9"/>
    </row>
    <row r="334" spans="3:4" x14ac:dyDescent="0.2">
      <c r="C334" s="8"/>
      <c r="D334" s="9"/>
    </row>
    <row r="335" spans="3:4" x14ac:dyDescent="0.2">
      <c r="C335" s="8"/>
      <c r="D335" s="9"/>
    </row>
    <row r="336" spans="3:4" x14ac:dyDescent="0.2">
      <c r="C336" s="8"/>
      <c r="D336" s="9"/>
    </row>
    <row r="337" spans="3:4" x14ac:dyDescent="0.2">
      <c r="C337" s="8"/>
      <c r="D337" s="9"/>
    </row>
    <row r="338" spans="3:4" x14ac:dyDescent="0.2">
      <c r="C338" s="8"/>
      <c r="D338" s="9"/>
    </row>
    <row r="339" spans="3:4" x14ac:dyDescent="0.2">
      <c r="C339" s="8"/>
      <c r="D339" s="9"/>
    </row>
    <row r="340" spans="3:4" x14ac:dyDescent="0.2">
      <c r="C340" s="8"/>
      <c r="D340" s="9"/>
    </row>
    <row r="341" spans="3:4" x14ac:dyDescent="0.2">
      <c r="C341" s="8"/>
      <c r="D341" s="9"/>
    </row>
    <row r="342" spans="3:4" x14ac:dyDescent="0.2">
      <c r="C342" s="8"/>
      <c r="D342" s="9"/>
    </row>
    <row r="343" spans="3:4" x14ac:dyDescent="0.2">
      <c r="C343" s="8"/>
      <c r="D343" s="9"/>
    </row>
    <row r="344" spans="3:4" x14ac:dyDescent="0.2">
      <c r="C344" s="8"/>
      <c r="D344" s="9"/>
    </row>
    <row r="345" spans="3:4" x14ac:dyDescent="0.2">
      <c r="C345" s="8"/>
      <c r="D345" s="9"/>
    </row>
    <row r="346" spans="3:4" x14ac:dyDescent="0.2">
      <c r="C346" s="8"/>
      <c r="D346" s="9"/>
    </row>
    <row r="347" spans="3:4" x14ac:dyDescent="0.2">
      <c r="C347" s="8"/>
      <c r="D347" s="9"/>
    </row>
    <row r="348" spans="3:4" x14ac:dyDescent="0.2">
      <c r="C348" s="8"/>
      <c r="D348" s="9"/>
    </row>
    <row r="349" spans="3:4" x14ac:dyDescent="0.2">
      <c r="C349" s="8"/>
      <c r="D349" s="9"/>
    </row>
    <row r="350" spans="3:4" x14ac:dyDescent="0.2">
      <c r="C350" s="8"/>
      <c r="D350" s="9"/>
    </row>
    <row r="351" spans="3:4" x14ac:dyDescent="0.2">
      <c r="C351" s="8"/>
      <c r="D351" s="9"/>
    </row>
    <row r="352" spans="3:4" x14ac:dyDescent="0.2">
      <c r="C352" s="8"/>
      <c r="D352" s="9"/>
    </row>
    <row r="353" spans="3:4" x14ac:dyDescent="0.2">
      <c r="C353" s="8"/>
      <c r="D353" s="9"/>
    </row>
    <row r="354" spans="3:4" x14ac:dyDescent="0.2">
      <c r="C354" s="8"/>
      <c r="D354" s="9"/>
    </row>
    <row r="355" spans="3:4" x14ac:dyDescent="0.2">
      <c r="C355" s="8"/>
      <c r="D355" s="9"/>
    </row>
    <row r="356" spans="3:4" x14ac:dyDescent="0.2">
      <c r="C356" s="8"/>
      <c r="D356" s="9"/>
    </row>
    <row r="357" spans="3:4" x14ac:dyDescent="0.2">
      <c r="C357" s="8"/>
      <c r="D357" s="9"/>
    </row>
    <row r="358" spans="3:4" x14ac:dyDescent="0.2">
      <c r="C358" s="8"/>
      <c r="D358" s="9"/>
    </row>
    <row r="359" spans="3:4" x14ac:dyDescent="0.2">
      <c r="C359" s="8"/>
      <c r="D359" s="9"/>
    </row>
    <row r="360" spans="3:4" x14ac:dyDescent="0.2">
      <c r="C360" s="8"/>
      <c r="D360" s="9"/>
    </row>
    <row r="361" spans="3:4" x14ac:dyDescent="0.2">
      <c r="C361" s="8"/>
      <c r="D361" s="9"/>
    </row>
    <row r="362" spans="3:4" x14ac:dyDescent="0.2">
      <c r="C362" s="8"/>
      <c r="D362" s="9"/>
    </row>
    <row r="363" spans="3:4" x14ac:dyDescent="0.2">
      <c r="C363" s="8"/>
      <c r="D363" s="9"/>
    </row>
    <row r="364" spans="3:4" x14ac:dyDescent="0.2">
      <c r="C364" s="8"/>
      <c r="D364" s="9"/>
    </row>
    <row r="365" spans="3:4" x14ac:dyDescent="0.2">
      <c r="C365" s="8"/>
      <c r="D365" s="9"/>
    </row>
    <row r="366" spans="3:4" x14ac:dyDescent="0.2">
      <c r="C366" s="8"/>
      <c r="D366" s="9"/>
    </row>
    <row r="367" spans="3:4" x14ac:dyDescent="0.2">
      <c r="C367" s="8"/>
      <c r="D367" s="9"/>
    </row>
    <row r="368" spans="3:4" x14ac:dyDescent="0.2">
      <c r="C368" s="8"/>
      <c r="D368" s="9"/>
    </row>
    <row r="369" spans="3:4" x14ac:dyDescent="0.2">
      <c r="C369" s="8"/>
      <c r="D369" s="9"/>
    </row>
    <row r="370" spans="3:4" x14ac:dyDescent="0.2">
      <c r="C370" s="8"/>
      <c r="D370" s="9"/>
    </row>
    <row r="371" spans="3:4" x14ac:dyDescent="0.2">
      <c r="C371" s="8"/>
      <c r="D371" s="9"/>
    </row>
    <row r="372" spans="3:4" x14ac:dyDescent="0.2">
      <c r="C372" s="8"/>
      <c r="D372" s="9"/>
    </row>
    <row r="373" spans="3:4" x14ac:dyDescent="0.2">
      <c r="C373" s="8"/>
      <c r="D373" s="9"/>
    </row>
    <row r="374" spans="3:4" x14ac:dyDescent="0.2">
      <c r="C374" s="8"/>
      <c r="D374" s="9"/>
    </row>
    <row r="375" spans="3:4" x14ac:dyDescent="0.2">
      <c r="C375" s="8"/>
      <c r="D375" s="9"/>
    </row>
    <row r="376" spans="3:4" x14ac:dyDescent="0.2">
      <c r="C376" s="8"/>
      <c r="D376" s="9"/>
    </row>
    <row r="377" spans="3:4" x14ac:dyDescent="0.2">
      <c r="C377" s="8"/>
      <c r="D377" s="9"/>
    </row>
    <row r="378" spans="3:4" x14ac:dyDescent="0.2">
      <c r="C378" s="8"/>
      <c r="D378" s="9"/>
    </row>
    <row r="379" spans="3:4" x14ac:dyDescent="0.2">
      <c r="C379" s="8"/>
      <c r="D379" s="9"/>
    </row>
    <row r="380" spans="3:4" x14ac:dyDescent="0.2">
      <c r="C380" s="8"/>
      <c r="D380" s="9"/>
    </row>
    <row r="381" spans="3:4" x14ac:dyDescent="0.2">
      <c r="C381" s="8"/>
      <c r="D381" s="9"/>
    </row>
    <row r="382" spans="3:4" x14ac:dyDescent="0.2">
      <c r="C382" s="8"/>
      <c r="D382" s="9"/>
    </row>
    <row r="383" spans="3:4" x14ac:dyDescent="0.2">
      <c r="C383" s="8"/>
      <c r="D383" s="9"/>
    </row>
    <row r="384" spans="3:4" x14ac:dyDescent="0.2">
      <c r="C384" s="8"/>
      <c r="D384" s="9"/>
    </row>
    <row r="385" spans="3:4" x14ac:dyDescent="0.2">
      <c r="C385" s="8"/>
      <c r="D385" s="9"/>
    </row>
    <row r="386" spans="3:4" x14ac:dyDescent="0.2">
      <c r="C386" s="8"/>
      <c r="D386" s="9"/>
    </row>
    <row r="387" spans="3:4" x14ac:dyDescent="0.2">
      <c r="C387" s="8"/>
      <c r="D387" s="9"/>
    </row>
    <row r="388" spans="3:4" x14ac:dyDescent="0.2">
      <c r="C388" s="8"/>
      <c r="D388" s="9"/>
    </row>
    <row r="389" spans="3:4" x14ac:dyDescent="0.2">
      <c r="C389" s="8"/>
      <c r="D389" s="9"/>
    </row>
    <row r="390" spans="3:4" x14ac:dyDescent="0.2">
      <c r="C390" s="8"/>
      <c r="D390" s="9"/>
    </row>
    <row r="391" spans="3:4" x14ac:dyDescent="0.2">
      <c r="C391" s="8"/>
      <c r="D391" s="9"/>
    </row>
    <row r="392" spans="3:4" x14ac:dyDescent="0.2">
      <c r="C392" s="8"/>
      <c r="D392" s="9"/>
    </row>
    <row r="393" spans="3:4" x14ac:dyDescent="0.2">
      <c r="C393" s="8"/>
      <c r="D393" s="9"/>
    </row>
    <row r="394" spans="3:4" x14ac:dyDescent="0.2">
      <c r="C394" s="8"/>
      <c r="D394" s="9"/>
    </row>
    <row r="395" spans="3:4" x14ac:dyDescent="0.2">
      <c r="C395" s="8"/>
      <c r="D395" s="9"/>
    </row>
    <row r="396" spans="3:4" x14ac:dyDescent="0.2">
      <c r="C396" s="8"/>
      <c r="D396" s="9"/>
    </row>
    <row r="397" spans="3:4" x14ac:dyDescent="0.2">
      <c r="C397" s="8"/>
      <c r="D397" s="9"/>
    </row>
    <row r="398" spans="3:4" x14ac:dyDescent="0.2">
      <c r="C398" s="8"/>
      <c r="D398" s="9"/>
    </row>
    <row r="399" spans="3:4" x14ac:dyDescent="0.2">
      <c r="C399" s="8"/>
      <c r="D399" s="9"/>
    </row>
    <row r="400" spans="3:4" x14ac:dyDescent="0.2">
      <c r="C400" s="8"/>
      <c r="D400" s="9"/>
    </row>
    <row r="401" spans="3:4" x14ac:dyDescent="0.2">
      <c r="C401" s="8"/>
      <c r="D401" s="9"/>
    </row>
    <row r="402" spans="3:4" x14ac:dyDescent="0.2">
      <c r="C402" s="8"/>
      <c r="D402" s="9"/>
    </row>
    <row r="403" spans="3:4" x14ac:dyDescent="0.2">
      <c r="C403" s="8"/>
      <c r="D403" s="9"/>
    </row>
    <row r="404" spans="3:4" x14ac:dyDescent="0.2">
      <c r="C404" s="8"/>
      <c r="D404" s="9"/>
    </row>
    <row r="405" spans="3:4" x14ac:dyDescent="0.2">
      <c r="C405" s="8"/>
      <c r="D405" s="9"/>
    </row>
    <row r="406" spans="3:4" x14ac:dyDescent="0.2">
      <c r="C406" s="8"/>
      <c r="D406" s="9"/>
    </row>
    <row r="407" spans="3:4" x14ac:dyDescent="0.2">
      <c r="C407" s="8"/>
      <c r="D407" s="9"/>
    </row>
    <row r="408" spans="3:4" x14ac:dyDescent="0.2">
      <c r="C408" s="8"/>
      <c r="D408" s="9"/>
    </row>
    <row r="409" spans="3:4" x14ac:dyDescent="0.2">
      <c r="C409" s="8"/>
      <c r="D409" s="9"/>
    </row>
    <row r="410" spans="3:4" x14ac:dyDescent="0.2">
      <c r="C410" s="8"/>
      <c r="D410" s="9"/>
    </row>
    <row r="411" spans="3:4" x14ac:dyDescent="0.2">
      <c r="C411" s="8"/>
      <c r="D411" s="9"/>
    </row>
    <row r="412" spans="3:4" x14ac:dyDescent="0.2">
      <c r="C412" s="8"/>
      <c r="D412" s="9"/>
    </row>
    <row r="413" spans="3:4" x14ac:dyDescent="0.2">
      <c r="C413" s="8"/>
      <c r="D413" s="9"/>
    </row>
    <row r="414" spans="3:4" x14ac:dyDescent="0.2">
      <c r="C414" s="8"/>
      <c r="D414" s="9"/>
    </row>
    <row r="415" spans="3:4" x14ac:dyDescent="0.2">
      <c r="C415" s="8"/>
      <c r="D415" s="9"/>
    </row>
    <row r="416" spans="3:4" x14ac:dyDescent="0.2">
      <c r="C416" s="8"/>
      <c r="D416" s="9"/>
    </row>
    <row r="417" spans="3:4" x14ac:dyDescent="0.2">
      <c r="C417" s="8"/>
      <c r="D417" s="9"/>
    </row>
    <row r="418" spans="3:4" x14ac:dyDescent="0.2">
      <c r="C418" s="8"/>
      <c r="D418" s="9"/>
    </row>
    <row r="419" spans="3:4" x14ac:dyDescent="0.2">
      <c r="C419" s="8"/>
      <c r="D419" s="9"/>
    </row>
    <row r="420" spans="3:4" x14ac:dyDescent="0.2">
      <c r="C420" s="8"/>
      <c r="D420" s="9"/>
    </row>
    <row r="421" spans="3:4" x14ac:dyDescent="0.2">
      <c r="C421" s="8"/>
      <c r="D421" s="9"/>
    </row>
    <row r="422" spans="3:4" x14ac:dyDescent="0.2">
      <c r="C422" s="8"/>
      <c r="D422" s="9"/>
    </row>
    <row r="423" spans="3:4" x14ac:dyDescent="0.2">
      <c r="C423" s="8"/>
      <c r="D423" s="9"/>
    </row>
    <row r="424" spans="3:4" x14ac:dyDescent="0.2">
      <c r="C424" s="8"/>
      <c r="D424" s="9"/>
    </row>
    <row r="425" spans="3:4" x14ac:dyDescent="0.2">
      <c r="C425" s="8"/>
      <c r="D425" s="9"/>
    </row>
    <row r="426" spans="3:4" x14ac:dyDescent="0.2">
      <c r="C426" s="8"/>
      <c r="D426" s="9"/>
    </row>
    <row r="427" spans="3:4" x14ac:dyDescent="0.2">
      <c r="C427" s="8"/>
      <c r="D427" s="9"/>
    </row>
    <row r="428" spans="3:4" x14ac:dyDescent="0.2">
      <c r="C428" s="8"/>
      <c r="D428" s="9"/>
    </row>
    <row r="429" spans="3:4" x14ac:dyDescent="0.2">
      <c r="C429" s="8"/>
      <c r="D429" s="9"/>
    </row>
    <row r="430" spans="3:4" x14ac:dyDescent="0.2">
      <c r="C430" s="8"/>
      <c r="D430" s="9"/>
    </row>
    <row r="431" spans="3:4" x14ac:dyDescent="0.2">
      <c r="C431" s="8"/>
      <c r="D431" s="9"/>
    </row>
    <row r="432" spans="3:4" x14ac:dyDescent="0.2">
      <c r="C432" s="8"/>
      <c r="D432" s="9"/>
    </row>
    <row r="433" spans="3:4" x14ac:dyDescent="0.2">
      <c r="C433" s="8"/>
      <c r="D433" s="9"/>
    </row>
    <row r="434" spans="3:4" x14ac:dyDescent="0.2">
      <c r="C434" s="8"/>
      <c r="D434" s="9"/>
    </row>
    <row r="435" spans="3:4" x14ac:dyDescent="0.2">
      <c r="C435" s="8"/>
      <c r="D435" s="9"/>
    </row>
    <row r="436" spans="3:4" x14ac:dyDescent="0.2">
      <c r="C436" s="8"/>
      <c r="D436" s="9"/>
    </row>
    <row r="437" spans="3:4" x14ac:dyDescent="0.2">
      <c r="C437" s="8"/>
      <c r="D437" s="9"/>
    </row>
    <row r="438" spans="3:4" x14ac:dyDescent="0.2">
      <c r="C438" s="8"/>
      <c r="D438" s="9"/>
    </row>
    <row r="439" spans="3:4" x14ac:dyDescent="0.2">
      <c r="C439" s="8"/>
      <c r="D439" s="9"/>
    </row>
    <row r="440" spans="3:4" x14ac:dyDescent="0.2">
      <c r="C440" s="8"/>
      <c r="D440" s="9"/>
    </row>
    <row r="441" spans="3:4" x14ac:dyDescent="0.2">
      <c r="C441" s="8"/>
      <c r="D441" s="9"/>
    </row>
    <row r="442" spans="3:4" x14ac:dyDescent="0.2">
      <c r="C442" s="8"/>
      <c r="D442" s="9"/>
    </row>
    <row r="443" spans="3:4" x14ac:dyDescent="0.2">
      <c r="C443" s="8"/>
      <c r="D443" s="9"/>
    </row>
    <row r="444" spans="3:4" x14ac:dyDescent="0.2">
      <c r="C444" s="8"/>
      <c r="D444" s="9"/>
    </row>
    <row r="445" spans="3:4" x14ac:dyDescent="0.2">
      <c r="C445" s="8"/>
      <c r="D445" s="9"/>
    </row>
    <row r="446" spans="3:4" x14ac:dyDescent="0.2">
      <c r="C446" s="8"/>
      <c r="D446" s="9"/>
    </row>
    <row r="447" spans="3:4" x14ac:dyDescent="0.2">
      <c r="C447" s="8"/>
      <c r="D447" s="9"/>
    </row>
    <row r="448" spans="3:4" x14ac:dyDescent="0.2">
      <c r="C448" s="8"/>
      <c r="D448" s="9"/>
    </row>
    <row r="449" spans="3:4" x14ac:dyDescent="0.2">
      <c r="C449" s="8"/>
      <c r="D449" s="9"/>
    </row>
    <row r="450" spans="3:4" x14ac:dyDescent="0.2">
      <c r="C450" s="8"/>
      <c r="D450" s="9"/>
    </row>
    <row r="451" spans="3:4" x14ac:dyDescent="0.2">
      <c r="C451" s="8"/>
      <c r="D451" s="9"/>
    </row>
    <row r="452" spans="3:4" x14ac:dyDescent="0.2">
      <c r="C452" s="8"/>
      <c r="D452" s="9"/>
    </row>
    <row r="453" spans="3:4" x14ac:dyDescent="0.2">
      <c r="C453" s="8"/>
      <c r="D453" s="9"/>
    </row>
    <row r="454" spans="3:4" x14ac:dyDescent="0.2">
      <c r="C454" s="8"/>
      <c r="D454" s="9"/>
    </row>
    <row r="455" spans="3:4" x14ac:dyDescent="0.2">
      <c r="C455" s="8"/>
      <c r="D455" s="9"/>
    </row>
    <row r="456" spans="3:4" x14ac:dyDescent="0.2">
      <c r="C456" s="8"/>
      <c r="D456" s="9"/>
    </row>
    <row r="457" spans="3:4" x14ac:dyDescent="0.2">
      <c r="C457" s="8"/>
      <c r="D457" s="9"/>
    </row>
    <row r="458" spans="3:4" x14ac:dyDescent="0.2">
      <c r="C458" s="8"/>
      <c r="D458" s="9"/>
    </row>
    <row r="459" spans="3:4" x14ac:dyDescent="0.2">
      <c r="C459" s="8"/>
      <c r="D459" s="9"/>
    </row>
    <row r="460" spans="3:4" x14ac:dyDescent="0.2">
      <c r="C460" s="8"/>
      <c r="D460" s="9"/>
    </row>
    <row r="461" spans="3:4" x14ac:dyDescent="0.2">
      <c r="C461" s="8"/>
      <c r="D461" s="9"/>
    </row>
    <row r="462" spans="3:4" x14ac:dyDescent="0.2">
      <c r="C462" s="8"/>
      <c r="D462" s="9"/>
    </row>
    <row r="463" spans="3:4" x14ac:dyDescent="0.2">
      <c r="C463" s="8"/>
      <c r="D463" s="9"/>
    </row>
    <row r="464" spans="3:4" x14ac:dyDescent="0.2">
      <c r="C464" s="8"/>
      <c r="D464" s="9"/>
    </row>
    <row r="465" spans="3:4" x14ac:dyDescent="0.2">
      <c r="C465" s="8"/>
      <c r="D465" s="9"/>
    </row>
    <row r="466" spans="3:4" x14ac:dyDescent="0.2">
      <c r="C466" s="8"/>
      <c r="D466" s="9"/>
    </row>
    <row r="467" spans="3:4" x14ac:dyDescent="0.2">
      <c r="C467" s="8"/>
      <c r="D467" s="9"/>
    </row>
    <row r="468" spans="3:4" x14ac:dyDescent="0.2">
      <c r="C468" s="8"/>
      <c r="D468" s="9"/>
    </row>
    <row r="469" spans="3:4" x14ac:dyDescent="0.2">
      <c r="C469" s="8"/>
      <c r="D469" s="9"/>
    </row>
    <row r="470" spans="3:4" x14ac:dyDescent="0.2">
      <c r="C470" s="8"/>
      <c r="D470" s="9"/>
    </row>
    <row r="471" spans="3:4" x14ac:dyDescent="0.2">
      <c r="C471" s="8"/>
      <c r="D471" s="9"/>
    </row>
    <row r="472" spans="3:4" x14ac:dyDescent="0.2">
      <c r="C472" s="8"/>
      <c r="D472" s="9"/>
    </row>
    <row r="473" spans="3:4" x14ac:dyDescent="0.2">
      <c r="C473" s="8"/>
      <c r="D473" s="9"/>
    </row>
    <row r="474" spans="3:4" x14ac:dyDescent="0.2">
      <c r="C474" s="8"/>
      <c r="D474" s="9"/>
    </row>
    <row r="475" spans="3:4" x14ac:dyDescent="0.2">
      <c r="C475" s="8"/>
      <c r="D475" s="9"/>
    </row>
    <row r="476" spans="3:4" x14ac:dyDescent="0.2">
      <c r="C476" s="8"/>
      <c r="D476" s="9"/>
    </row>
    <row r="477" spans="3:4" x14ac:dyDescent="0.2">
      <c r="C477" s="8"/>
      <c r="D477" s="9"/>
    </row>
    <row r="478" spans="3:4" x14ac:dyDescent="0.2">
      <c r="C478" s="8"/>
      <c r="D478" s="9"/>
    </row>
    <row r="479" spans="3:4" x14ac:dyDescent="0.2">
      <c r="C479" s="8"/>
      <c r="D479" s="9"/>
    </row>
    <row r="480" spans="3:4" x14ac:dyDescent="0.2">
      <c r="C480" s="8"/>
      <c r="D480" s="9"/>
    </row>
    <row r="481" spans="3:4" x14ac:dyDescent="0.2">
      <c r="C481" s="8"/>
      <c r="D481" s="9"/>
    </row>
    <row r="482" spans="3:4" x14ac:dyDescent="0.2">
      <c r="C482" s="8"/>
      <c r="D482" s="9"/>
    </row>
    <row r="483" spans="3:4" x14ac:dyDescent="0.2">
      <c r="C483" s="8"/>
      <c r="D483" s="9"/>
    </row>
    <row r="484" spans="3:4" x14ac:dyDescent="0.2">
      <c r="C484" s="8"/>
      <c r="D484" s="9"/>
    </row>
    <row r="485" spans="3:4" x14ac:dyDescent="0.2">
      <c r="C485" s="8"/>
      <c r="D485" s="9"/>
    </row>
    <row r="486" spans="3:4" x14ac:dyDescent="0.2">
      <c r="C486" s="8"/>
      <c r="D486" s="9"/>
    </row>
    <row r="487" spans="3:4" x14ac:dyDescent="0.2">
      <c r="C487" s="8"/>
      <c r="D487" s="9"/>
    </row>
    <row r="488" spans="3:4" x14ac:dyDescent="0.2">
      <c r="C488" s="8"/>
      <c r="D488" s="9"/>
    </row>
    <row r="489" spans="3:4" x14ac:dyDescent="0.2">
      <c r="C489" s="8"/>
      <c r="D489" s="9"/>
    </row>
    <row r="490" spans="3:4" x14ac:dyDescent="0.2">
      <c r="C490" s="8"/>
      <c r="D490" s="9"/>
    </row>
    <row r="491" spans="3:4" x14ac:dyDescent="0.2">
      <c r="C491" s="8"/>
      <c r="D491" s="9"/>
    </row>
    <row r="492" spans="3:4" x14ac:dyDescent="0.2">
      <c r="C492" s="8"/>
      <c r="D492" s="9"/>
    </row>
    <row r="493" spans="3:4" x14ac:dyDescent="0.2">
      <c r="C493" s="8"/>
      <c r="D493" s="9"/>
    </row>
    <row r="494" spans="3:4" x14ac:dyDescent="0.2">
      <c r="C494" s="8"/>
      <c r="D494" s="9"/>
    </row>
    <row r="495" spans="3:4" x14ac:dyDescent="0.2">
      <c r="C495" s="8"/>
      <c r="D495" s="9"/>
    </row>
    <row r="496" spans="3:4" x14ac:dyDescent="0.2">
      <c r="C496" s="8"/>
      <c r="D496" s="9"/>
    </row>
    <row r="497" spans="3:4" x14ac:dyDescent="0.2">
      <c r="C497" s="8"/>
      <c r="D497" s="9"/>
    </row>
    <row r="498" spans="3:4" x14ac:dyDescent="0.2">
      <c r="C498" s="8"/>
      <c r="D498" s="9"/>
    </row>
    <row r="499" spans="3:4" x14ac:dyDescent="0.2">
      <c r="C499" s="8"/>
      <c r="D499" s="9"/>
    </row>
    <row r="500" spans="3:4" x14ac:dyDescent="0.2">
      <c r="C500" s="8"/>
      <c r="D500" s="9"/>
    </row>
  </sheetData>
  <mergeCells count="1">
    <mergeCell ref="A3:H3"/>
  </mergeCells>
  <conditionalFormatting sqref="D6:D30">
    <cfRule type="expression" dxfId="60" priority="1">
      <formula>D6&gt;0</formula>
    </cfRule>
  </conditionalFormatting>
  <conditionalFormatting sqref="D6:D30">
    <cfRule type="expression" dxfId="59" priority="2">
      <formula>D6&lt;0</formula>
    </cfRule>
  </conditionalFormatting>
  <conditionalFormatting sqref="F6:F30">
    <cfRule type="expression" dxfId="58" priority="3">
      <formula>F6="MARKET_CLOSED"</formula>
    </cfRule>
  </conditionalFormatting>
  <conditionalFormatting sqref="F6:F30">
    <cfRule type="expression" dxfId="57" priority="4">
      <formula>F6="STALE"</formula>
    </cfRule>
  </conditionalFormatting>
  <conditionalFormatting sqref="G6:G30">
    <cfRule type="expression" dxfId="56" priority="5">
      <formula>G6="OUTLIER"</formula>
    </cfRule>
  </conditionalFormatting>
  <conditionalFormatting sqref="H6:H30">
    <cfRule type="expression" dxfId="55" priority="6">
      <formula>H6="PASS"</formula>
    </cfRule>
  </conditionalFormatting>
  <conditionalFormatting sqref="H6:H30">
    <cfRule type="expression" dxfId="54" priority="7">
      <formula>H6="REVIEW"</formula>
    </cfRule>
  </conditionalFormatting>
  <conditionalFormatting sqref="H6:H30">
    <cfRule type="expression" dxfId="53" priority="8">
      <formula>OR(H6="STALE",H6="CROSSED")</formula>
    </cfRule>
  </conditionalFormatting>
  <conditionalFormatting sqref="H6:H30">
    <cfRule type="expression" dxfId="52" priority="9">
      <formula>H6="OUTLIER"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2FBB-7BB8-1341-AC1F-BFA595373DD8}">
  <dimension ref="A1:T100"/>
  <sheetViews>
    <sheetView showGridLines="0" topLeftCell="I1" workbookViewId="0">
      <pane ySplit="5" topLeftCell="A6" activePane="bottomLeft" state="frozen"/>
      <selection pane="bottomLeft" activeCell="B35" sqref="B35"/>
    </sheetView>
  </sheetViews>
  <sheetFormatPr baseColWidth="10" defaultRowHeight="16" x14ac:dyDescent="0.2"/>
  <cols>
    <col min="1" max="1" width="12.5" style="3" customWidth="1"/>
    <col min="2" max="6" width="15" style="3" customWidth="1"/>
    <col min="7" max="9" width="17.5" style="3" customWidth="1"/>
    <col min="10" max="10" width="4.1640625" style="3" customWidth="1"/>
    <col min="11" max="14" width="20.83203125" style="3" customWidth="1"/>
  </cols>
  <sheetData>
    <row r="1" spans="1:20" ht="24" x14ac:dyDescent="0.3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0" x14ac:dyDescent="0.2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0" s="25" customFormat="1" ht="30" customHeight="1" x14ac:dyDescent="0.2">
      <c r="A3" s="38" t="s">
        <v>115</v>
      </c>
      <c r="B3" s="38"/>
      <c r="C3" s="38"/>
      <c r="D3" s="38"/>
      <c r="E3" s="38"/>
      <c r="F3" s="38"/>
      <c r="G3" s="38"/>
      <c r="H3" s="38"/>
      <c r="I3" s="38"/>
      <c r="J3" s="18"/>
      <c r="K3" s="18"/>
      <c r="L3" s="18"/>
      <c r="M3" s="18"/>
      <c r="N3" s="18"/>
      <c r="O3" s="127" t="s">
        <v>402</v>
      </c>
      <c r="P3" s="127"/>
      <c r="Q3" s="127"/>
      <c r="R3" s="127"/>
      <c r="S3" s="127"/>
      <c r="T3" s="127"/>
    </row>
    <row r="4" spans="1:20" x14ac:dyDescent="0.2">
      <c r="A4" s="5" t="s">
        <v>52</v>
      </c>
      <c r="B4" s="5"/>
      <c r="C4" s="5"/>
      <c r="D4" s="5"/>
      <c r="E4" s="5"/>
      <c r="F4" s="5"/>
      <c r="G4" s="5"/>
      <c r="H4" s="5"/>
      <c r="I4" s="5"/>
      <c r="K4" s="5" t="s">
        <v>116</v>
      </c>
      <c r="L4" s="5"/>
      <c r="M4" s="5"/>
      <c r="N4" s="5"/>
      <c r="P4" t="s">
        <v>27</v>
      </c>
      <c r="Q4" t="s">
        <v>36</v>
      </c>
      <c r="S4" t="s">
        <v>27</v>
      </c>
      <c r="T4" t="s">
        <v>40</v>
      </c>
    </row>
    <row r="5" spans="1:20" s="30" customFormat="1" ht="34" customHeight="1" thickBot="1" x14ac:dyDescent="0.3">
      <c r="A5" s="27" t="s">
        <v>27</v>
      </c>
      <c r="B5" s="27" t="s">
        <v>35</v>
      </c>
      <c r="C5" s="27" t="s">
        <v>36</v>
      </c>
      <c r="D5" s="27" t="s">
        <v>37</v>
      </c>
      <c r="E5" s="27" t="s">
        <v>38</v>
      </c>
      <c r="F5" s="27" t="s">
        <v>40</v>
      </c>
      <c r="G5" s="27" t="s">
        <v>399</v>
      </c>
      <c r="H5" s="27" t="s">
        <v>53</v>
      </c>
      <c r="I5" s="27" t="s">
        <v>400</v>
      </c>
      <c r="J5" s="28"/>
      <c r="K5" s="31" t="str" cm="1">
        <f t="array" ref="K5">IF(MAX(_xlfn._xlws.FILTER(market_overview[move_bps],market_overview[category]="Tech"))&gt;0,"Largest Positive Move","Best Relative Move")</f>
        <v>Best Relative Move</v>
      </c>
      <c r="L5" s="32" t="str" cm="1">
        <f t="array" ref="L5">_xlfn.LET(_xlpm.f,_xlfn._xlws.FILTER(_xlfn.HSTACK(market_overview[symbol],market_overview[move_bps]),market_overview[category]="Tech"),INDEX(_xlfn.SORTBY(_xlpm.f,_xlfn.CHOOSECOLS(_xlpm.f,2),-1),1,1))</f>
        <v>GOOGL</v>
      </c>
      <c r="M5" s="49" cm="1">
        <f t="array" ref="M5">MAX(_xlfn._xlws.FILTER(market_overview[move_bps],market_overview[category]="Tech"))</f>
        <v>-2.9188248611533574</v>
      </c>
      <c r="N5" s="28"/>
      <c r="P5" s="30" t="str" cm="1">
        <f t="array" ref="P5:Q9">_xlfn._xlws.FILTER(_xlfn.HSTACK(market_overview[symbol],market_overview[move_bps]),market_overview[category]="Tech")</f>
        <v>AAPL</v>
      </c>
      <c r="Q5" s="128">
        <v>-25.540220386698344</v>
      </c>
      <c r="S5" s="30" t="str" cm="1">
        <f t="array" ref="S5:T9">_xlfn.LET(_xlpm.f,_xlfn._xlws.FILTER(_xlfn.HSTACK(market_overview[symbol],market_overview[spread_bps]),market_overview[category]="Tech"),_xlfn.HSTACK(_xlfn.CHOOSECOLS(_xlpm.f,1),IF(_xlfn.CHOOSECOLS(_xlpm.f,2)=0,"",_xlfn.CHOOSECOLS(_xlpm.f,2))))</f>
        <v>AAPL</v>
      </c>
      <c r="T5" s="128" t="str">
        <v/>
      </c>
    </row>
    <row r="6" spans="1:20" ht="18" x14ac:dyDescent="0.25">
      <c r="A6" s="3" t="str" cm="1">
        <f t="array" ref="A6">IFERROR(INDEX(_xlfn._xlws.FILTER(market_overview[symbol],market_overview[category]="Tech"),1),"")</f>
        <v>AAPL</v>
      </c>
      <c r="B6" s="8" cm="1">
        <f t="array" ref="B6">IFERROR(INDEX(_xlfn._xlws.FILTER(market_overview[price],market_overview[category]="Tech"),1),"")</f>
        <v>335.8699951171875</v>
      </c>
      <c r="C6" s="9" cm="1">
        <f t="array" ref="C6">IFERROR(INDEX(_xlfn._xlws.FILTER(market_overview[move_bps],market_overview[category]="Tech"),1),"")</f>
        <v>-25.540220386698344</v>
      </c>
      <c r="D6" s="8" cm="1">
        <f t="array" ref="D6">_xlfn.LET(_xlpm.v,IFERROR(INDEX(_xlfn._xlws.FILTER(market_overview[bid],market_overview[category]="Tech"),ROW()-5),""),IF(OR(_xlpm.v="",_xlpm.v=0),"",_xlpm.v))</f>
        <v>333.21</v>
      </c>
      <c r="E6" s="8" t="str" cm="1">
        <f t="array" ref="E6">_xlfn.LET(_xlpm.v,IFERROR(INDEX(_xlfn._xlws.FILTER(market_overview[ask],market_overview[category]="Tech"),ROW()-5),""),IF(OR(_xlpm.v="",_xlpm.v=0),"",_xlpm.v))</f>
        <v/>
      </c>
      <c r="F6" s="59" t="str" cm="1">
        <f t="array" ref="F6">_xlfn.LET(_xlpm.v,IFERROR(INDEX(_xlfn._xlws.FILTER(market_overview[spread_bps],market_overview[category]="Tech"),ROW()-5),""),IF(OR(_xlpm.v="",_xlpm.v=0),"",_xlpm.v))</f>
        <v/>
      </c>
      <c r="G6" s="46" cm="1">
        <f t="array" ref="G6">IFERROR(INDEX(_xlfn._xlws.FILTER(market_overview[quote_age_seconds],market_overview[category]="Tech"),1),"")</f>
        <v>5938.1795499999998</v>
      </c>
      <c r="H6" s="3" t="str" cm="1">
        <f t="array" ref="H6">IFERROR(INDEX(_xlfn._xlws.FILTER(market_overview[market_outlier_flag],market_overview[category]="Tech"),1),"")</f>
        <v>OK</v>
      </c>
      <c r="I6" s="3" t="str" cm="1">
        <f t="array" ref="I6">IFERROR(INDEX(_xlfn._xlws.FILTER(market_overview[final_quality_status],market_overview[category]="Tech"),ROW()-5),"")</f>
        <v>REVIEW</v>
      </c>
      <c r="K6" s="4" t="s">
        <v>117</v>
      </c>
      <c r="L6" s="12" t="str" cm="1">
        <f t="array" ref="L6">_xlfn.LET(_xlpm.f,_xlfn._xlws.FILTER(_xlfn.HSTACK(market_overview[symbol],market_overview[move_bps]),market_overview[category]="Tech"),INDEX(_xlfn.SORTBY(_xlpm.f,_xlfn.CHOOSECOLS(_xlpm.f,2),1),1,1))</f>
        <v>AAPL</v>
      </c>
      <c r="M6" s="47" cm="1">
        <f t="array" ref="M6">MIN(_xlfn._xlws.FILTER(market_overview[move_bps],market_overview[category]="Tech"))</f>
        <v>-25.540220386698344</v>
      </c>
      <c r="P6" t="str">
        <v>GOOGL</v>
      </c>
      <c r="Q6" s="129">
        <v>-2.9188248611533574</v>
      </c>
      <c r="S6" t="str">
        <v>GOOGL</v>
      </c>
      <c r="T6" s="129">
        <v>1198.5040784475393</v>
      </c>
    </row>
    <row r="7" spans="1:20" ht="18" x14ac:dyDescent="0.25">
      <c r="A7" s="3" t="str" cm="1">
        <f t="array" ref="A7">IFERROR(INDEX(_xlfn._xlws.FILTER(market_overview[symbol],market_overview[category]="Tech"),2),"")</f>
        <v>GOOGL</v>
      </c>
      <c r="B7" s="8" cm="1">
        <f t="array" ref="B7">IFERROR(INDEX(_xlfn._xlws.FILTER(market_overview[price],market_overview[category]="Tech"),2),"")</f>
        <v>342.42001342773438</v>
      </c>
      <c r="C7" s="9" cm="1">
        <f t="array" ref="C7">IFERROR(INDEX(_xlfn._xlws.FILTER(market_overview[move_bps],market_overview[category]="Tech"),2),"")</f>
        <v>-2.9188248611533574</v>
      </c>
      <c r="D7" s="8" cm="1">
        <f t="array" ref="D7">_xlfn.LET(_xlpm.v,IFERROR(INDEX(_xlfn._xlws.FILTER(market_overview[bid],market_overview[category]="Tech"),ROW()-5),""),IF(OR(_xlpm.v="",_xlpm.v=0),"",_xlpm.v))</f>
        <v>319.24</v>
      </c>
      <c r="E7" s="8" cm="1">
        <f t="array" ref="E7">_xlfn.LET(_xlpm.v,IFERROR(INDEX(_xlfn._xlws.FILTER(market_overview[ask],market_overview[category]="Tech"),ROW()-5),""),IF(OR(_xlpm.v="",_xlpm.v=0),"",_xlpm.v))</f>
        <v>359.94</v>
      </c>
      <c r="F7" s="59" cm="1">
        <f t="array" ref="F7">_xlfn.LET(_xlpm.v,IFERROR(INDEX(_xlfn._xlws.FILTER(market_overview[spread_bps],market_overview[category]="Tech"),ROW()-5),""),IF(OR(_xlpm.v="",_xlpm.v=0),"",_xlpm.v))</f>
        <v>1198.5040784475393</v>
      </c>
      <c r="G7" s="46" cm="1">
        <f t="array" ref="G7">IFERROR(INDEX(_xlfn._xlws.FILTER(market_overview[quote_age_seconds],market_overview[category]="Tech"),2),"")</f>
        <v>5940.5188509999998</v>
      </c>
      <c r="H7" s="3" t="str" cm="1">
        <f t="array" ref="H7">IFERROR(INDEX(_xlfn._xlws.FILTER(market_overview[market_outlier_flag],market_overview[category]="Tech"),2),"")</f>
        <v>OK</v>
      </c>
      <c r="I7" s="3" t="str" cm="1">
        <f t="array" ref="I7">IFERROR(INDEX(_xlfn._xlws.FILTER(market_overview[final_quality_status],market_overview[category]="Tech"),ROW()-5),"")</f>
        <v>PASS</v>
      </c>
      <c r="K7" s="4" t="s">
        <v>118</v>
      </c>
      <c r="L7" s="12" t="str" cm="1">
        <f t="array" ref="L7">_xlfn.LET(_xlpm.f,_xlfn._xlws.FILTER(_xlfn.HSTACK(market_overview[symbol],market_overview[spread_bps]),market_overview[category]="Tech"),INDEX(_xlfn.SORTBY(_xlpm.f,_xlfn.CHOOSECOLS(_xlpm.f,2),-1),1,1))</f>
        <v>GOOGL</v>
      </c>
      <c r="M7" s="47" cm="1">
        <f t="array" ref="M7">MAX(_xlfn._xlws.FILTER(market_overview[spread_bps],market_overview[category]="Tech"))</f>
        <v>1198.5040784475393</v>
      </c>
      <c r="P7" t="str">
        <v>META</v>
      </c>
      <c r="Q7" s="129">
        <v>-21.775311871004011</v>
      </c>
      <c r="S7" t="str">
        <v>META</v>
      </c>
      <c r="T7" s="129">
        <v>974.56834555574846</v>
      </c>
    </row>
    <row r="8" spans="1:20" x14ac:dyDescent="0.2">
      <c r="A8" s="3" t="str" cm="1">
        <f t="array" ref="A8">IFERROR(INDEX(_xlfn._xlws.FILTER(market_overview[symbol],market_overview[category]="Tech"),3),"")</f>
        <v>META</v>
      </c>
      <c r="B8" s="8" cm="1">
        <f t="array" ref="B8">IFERROR(INDEX(_xlfn._xlws.FILTER(market_overview[price],market_overview[category]="Tech"),3),"")</f>
        <v>777.44000244140625</v>
      </c>
      <c r="C8" s="9" cm="1">
        <f t="array" ref="C8">IFERROR(INDEX(_xlfn._xlws.FILTER(market_overview[move_bps],market_overview[category]="Tech"),3),"")</f>
        <v>-21.775311871004011</v>
      </c>
      <c r="D8" s="8" cm="1">
        <f t="array" ref="D8">_xlfn.LET(_xlpm.v,IFERROR(INDEX(_xlfn._xlws.FILTER(market_overview[bid],market_overview[category]="Tech"),ROW()-5),""),IF(OR(_xlpm.v="",_xlpm.v=0),"",_xlpm.v))</f>
        <v>737.44</v>
      </c>
      <c r="E8" s="8" cm="1">
        <f t="array" ref="E8">_xlfn.LET(_xlpm.v,IFERROR(INDEX(_xlfn._xlws.FILTER(market_overview[ask],market_overview[category]="Tech"),ROW()-5),""),IF(OR(_xlpm.v="",_xlpm.v=0),"",_xlpm.v))</f>
        <v>812.99</v>
      </c>
      <c r="F8" s="59" cm="1">
        <f t="array" ref="F8">_xlfn.LET(_xlpm.v,IFERROR(INDEX(_xlfn._xlws.FILTER(market_overview[spread_bps],market_overview[category]="Tech"),ROW()-5),""),IF(OR(_xlpm.v="",_xlpm.v=0),"",_xlpm.v))</f>
        <v>974.56834555574846</v>
      </c>
      <c r="G8" s="46" cm="1">
        <f t="array" ref="G8">IFERROR(INDEX(_xlfn._xlws.FILTER(market_overview[quote_age_seconds],market_overview[category]="Tech"),3),"")</f>
        <v>5940.5291690000004</v>
      </c>
      <c r="H8" s="3" t="str" cm="1">
        <f t="array" ref="H8">IFERROR(INDEX(_xlfn._xlws.FILTER(market_overview[market_outlier_flag],market_overview[category]="Tech"),3),"")</f>
        <v>OK</v>
      </c>
      <c r="I8" s="3" t="str" cm="1">
        <f t="array" ref="I8">IFERROR(INDEX(_xlfn._xlws.FILTER(market_overview[final_quality_status],market_overview[category]="Tech"),ROW()-5),"")</f>
        <v>PASS</v>
      </c>
      <c r="P8" t="str">
        <v>MSFT</v>
      </c>
      <c r="Q8" s="129">
        <v>-10.33958325891815</v>
      </c>
      <c r="S8" t="str">
        <v>MSFT</v>
      </c>
      <c r="T8" s="129">
        <v>1009.9336075265009</v>
      </c>
    </row>
    <row r="9" spans="1:20" x14ac:dyDescent="0.2">
      <c r="A9" s="3" t="str" cm="1">
        <f t="array" ref="A9">IFERROR(INDEX(_xlfn._xlws.FILTER(market_overview[symbol],market_overview[category]="Tech"),4),"")</f>
        <v>MSFT</v>
      </c>
      <c r="B9" s="8" cm="1">
        <f t="array" ref="B9">IFERROR(INDEX(_xlfn._xlws.FILTER(market_overview[price],market_overview[category]="Tech"),4),"")</f>
        <v>497.58499145507812</v>
      </c>
      <c r="C9" s="9" cm="1">
        <f t="array" ref="C9">IFERROR(INDEX(_xlfn._xlws.FILTER(market_overview[move_bps],market_overview[category]="Tech"),4),"")</f>
        <v>-10.33958325891815</v>
      </c>
      <c r="D9" s="8" cm="1">
        <f t="array" ref="D9">_xlfn.LET(_xlpm.v,IFERROR(INDEX(_xlfn._xlws.FILTER(market_overview[bid],market_overview[category]="Tech"),ROW()-5),""),IF(OR(_xlpm.v="",_xlpm.v=0),"",_xlpm.v))</f>
        <v>469.8</v>
      </c>
      <c r="E9" s="8" cm="1">
        <f t="array" ref="E9">_xlfn.LET(_xlpm.v,IFERROR(INDEX(_xlfn._xlws.FILTER(market_overview[ask],market_overview[category]="Tech"),ROW()-5),""),IF(OR(_xlpm.v="",_xlpm.v=0),"",_xlpm.v))</f>
        <v>519.77</v>
      </c>
      <c r="F9" s="59" cm="1">
        <f t="array" ref="F9">_xlfn.LET(_xlpm.v,IFERROR(INDEX(_xlfn._xlws.FILTER(market_overview[spread_bps],market_overview[category]="Tech"),ROW()-5),""),IF(OR(_xlpm.v="",_xlpm.v=0),"",_xlpm.v))</f>
        <v>1009.9336075265009</v>
      </c>
      <c r="G9" s="46" cm="1">
        <f t="array" ref="G9">IFERROR(INDEX(_xlfn._xlws.FILTER(market_overview[quote_age_seconds],market_overview[category]="Tech"),4),"")</f>
        <v>5938.210298</v>
      </c>
      <c r="H9" s="3" t="str" cm="1">
        <f t="array" ref="H9">IFERROR(INDEX(_xlfn._xlws.FILTER(market_overview[market_outlier_flag],market_overview[category]="Tech"),4),"")</f>
        <v>OK</v>
      </c>
      <c r="I9" s="3" t="str" cm="1">
        <f t="array" ref="I9">IFERROR(INDEX(_xlfn._xlws.FILTER(market_overview[final_quality_status],market_overview[category]="Tech"),ROW()-5),"")</f>
        <v>PASS</v>
      </c>
      <c r="P9" t="str">
        <v>NVDA</v>
      </c>
      <c r="Q9" s="129">
        <v>-10.677350941696861</v>
      </c>
      <c r="S9" t="str">
        <v>NVDA</v>
      </c>
      <c r="T9" s="129" t="str">
        <v/>
      </c>
    </row>
    <row r="10" spans="1:20" x14ac:dyDescent="0.2">
      <c r="A10" s="3" t="str" cm="1">
        <f t="array" ref="A10">IFERROR(INDEX(_xlfn._xlws.FILTER(market_overview[symbol],market_overview[category]="Tech"),5),"")</f>
        <v>NVDA</v>
      </c>
      <c r="B10" s="8" cm="1">
        <f t="array" ref="B10">IFERROR(INDEX(_xlfn._xlws.FILTER(market_overview[price],market_overview[category]="Tech"),5),"")</f>
        <v>224.53999328613281</v>
      </c>
      <c r="C10" s="9" cm="1">
        <f t="array" ref="C10">IFERROR(INDEX(_xlfn._xlws.FILTER(market_overview[move_bps],market_overview[category]="Tech"),5),"")</f>
        <v>-10.677350941696861</v>
      </c>
      <c r="D10" s="8" cm="1">
        <f t="array" ref="D10">_xlfn.LET(_xlpm.v,IFERROR(INDEX(_xlfn._xlws.FILTER(market_overview[bid],market_overview[category]="Tech"),ROW()-5),""),IF(OR(_xlpm.v="",_xlpm.v=0),"",_xlpm.v))</f>
        <v>210.95</v>
      </c>
      <c r="E10" s="8" t="str" cm="1">
        <f t="array" ref="E10">_xlfn.LET(_xlpm.v,IFERROR(INDEX(_xlfn._xlws.FILTER(market_overview[ask],market_overview[category]="Tech"),ROW()-5),""),IF(OR(_xlpm.v="",_xlpm.v=0),"",_xlpm.v))</f>
        <v/>
      </c>
      <c r="F10" s="59" t="str" cm="1">
        <f t="array" ref="F10">_xlfn.LET(_xlpm.v,IFERROR(INDEX(_xlfn._xlws.FILTER(market_overview[spread_bps],market_overview[category]="Tech"),ROW()-5),""),IF(OR(_xlpm.v="",_xlpm.v=0),"",_xlpm.v))</f>
        <v/>
      </c>
      <c r="G10" s="46" cm="1">
        <f t="array" ref="G10">IFERROR(INDEX(_xlfn._xlws.FILTER(market_overview[quote_age_seconds],market_overview[category]="Tech"),5),"")</f>
        <v>5935.7585529999997</v>
      </c>
      <c r="H10" s="3" t="str" cm="1">
        <f t="array" ref="H10">IFERROR(INDEX(_xlfn._xlws.FILTER(market_overview[market_outlier_flag],market_overview[category]="Tech"),5),"")</f>
        <v>OK</v>
      </c>
      <c r="I10" s="3" t="str" cm="1">
        <f t="array" ref="I10">IFERROR(INDEX(_xlfn._xlws.FILTER(market_overview[final_quality_status],market_overview[category]="Tech"),ROW()-5),"")</f>
        <v>REVIEW</v>
      </c>
      <c r="K10" s="10"/>
      <c r="L10" s="10"/>
      <c r="M10" s="10"/>
      <c r="N10" s="10"/>
    </row>
    <row r="11" spans="1:20" x14ac:dyDescent="0.2">
      <c r="B11" s="8"/>
      <c r="C11" s="9"/>
      <c r="D11" s="8"/>
      <c r="E11" s="8"/>
      <c r="F11" s="8"/>
      <c r="K11" s="10"/>
      <c r="L11" s="10"/>
      <c r="M11" s="10"/>
      <c r="N11" s="10"/>
    </row>
    <row r="12" spans="1:20" x14ac:dyDescent="0.2">
      <c r="B12" s="8"/>
      <c r="C12" s="9"/>
      <c r="D12" s="8"/>
      <c r="E12" s="8"/>
      <c r="F12" s="8"/>
      <c r="K12" s="10"/>
      <c r="L12" s="10"/>
      <c r="M12" s="10"/>
      <c r="N12" s="10"/>
    </row>
    <row r="13" spans="1:20" x14ac:dyDescent="0.2">
      <c r="B13" s="8"/>
      <c r="C13" s="9"/>
      <c r="D13" s="8"/>
      <c r="E13" s="8"/>
      <c r="F13" s="8"/>
      <c r="K13" s="10"/>
      <c r="L13" s="10"/>
      <c r="M13" s="10"/>
      <c r="N13" s="10"/>
    </row>
    <row r="14" spans="1:20" x14ac:dyDescent="0.2">
      <c r="B14" s="8"/>
      <c r="C14" s="9"/>
      <c r="D14" s="8"/>
      <c r="E14" s="8"/>
      <c r="F14" s="8"/>
      <c r="K14" s="10"/>
      <c r="L14" s="10"/>
      <c r="M14" s="10"/>
      <c r="N14" s="10"/>
    </row>
    <row r="15" spans="1:20" x14ac:dyDescent="0.2">
      <c r="B15" s="8"/>
      <c r="C15" s="9"/>
      <c r="D15" s="8"/>
      <c r="E15" s="8"/>
      <c r="F15" s="8"/>
      <c r="K15" s="10"/>
      <c r="L15" s="10"/>
      <c r="M15" s="10"/>
      <c r="N15" s="10"/>
    </row>
    <row r="16" spans="1:20" x14ac:dyDescent="0.2">
      <c r="B16" s="8"/>
      <c r="C16" s="9"/>
      <c r="D16" s="8"/>
      <c r="E16" s="8"/>
      <c r="F16" s="8"/>
      <c r="K16" s="10"/>
      <c r="L16" s="10"/>
      <c r="M16" s="10"/>
      <c r="N16" s="10"/>
    </row>
    <row r="17" spans="2:14" x14ac:dyDescent="0.2">
      <c r="B17" s="8"/>
      <c r="C17" s="9"/>
      <c r="D17" s="8"/>
      <c r="E17" s="8"/>
      <c r="F17" s="8"/>
      <c r="K17" s="10"/>
      <c r="L17" s="10"/>
      <c r="M17" s="10"/>
      <c r="N17" s="10"/>
    </row>
    <row r="18" spans="2:14" x14ac:dyDescent="0.2">
      <c r="B18" s="8"/>
      <c r="C18" s="9"/>
      <c r="D18" s="8"/>
      <c r="E18" s="8"/>
      <c r="F18" s="8"/>
      <c r="K18" s="10"/>
      <c r="L18" s="10"/>
      <c r="M18" s="10"/>
      <c r="N18" s="10"/>
    </row>
    <row r="19" spans="2:14" x14ac:dyDescent="0.2">
      <c r="B19" s="8"/>
      <c r="C19" s="9"/>
      <c r="D19" s="8"/>
      <c r="E19" s="8"/>
      <c r="F19" s="8"/>
      <c r="K19" s="10"/>
      <c r="L19" s="10"/>
      <c r="M19" s="10"/>
      <c r="N19" s="10"/>
    </row>
    <row r="20" spans="2:14" x14ac:dyDescent="0.2">
      <c r="B20" s="8"/>
      <c r="C20" s="9"/>
      <c r="D20" s="8"/>
      <c r="E20" s="8"/>
      <c r="F20" s="8"/>
      <c r="K20" s="10"/>
      <c r="L20" s="10"/>
      <c r="M20" s="10"/>
      <c r="N20" s="10"/>
    </row>
    <row r="21" spans="2:14" x14ac:dyDescent="0.2">
      <c r="B21" s="8"/>
      <c r="C21" s="9"/>
      <c r="D21" s="8"/>
      <c r="E21" s="8"/>
      <c r="F21" s="8"/>
      <c r="K21" s="10"/>
      <c r="L21" s="10"/>
      <c r="M21" s="10"/>
      <c r="N21" s="10"/>
    </row>
    <row r="22" spans="2:14" x14ac:dyDescent="0.2">
      <c r="B22" s="8"/>
      <c r="C22" s="9"/>
      <c r="D22" s="8"/>
      <c r="E22" s="8"/>
      <c r="F22" s="8"/>
      <c r="K22" s="10"/>
      <c r="L22" s="10"/>
      <c r="M22" s="10"/>
      <c r="N22" s="10"/>
    </row>
    <row r="23" spans="2:14" x14ac:dyDescent="0.2">
      <c r="B23" s="8"/>
      <c r="C23" s="9"/>
      <c r="D23" s="8"/>
      <c r="E23" s="8"/>
      <c r="F23" s="8"/>
    </row>
    <row r="24" spans="2:14" x14ac:dyDescent="0.2">
      <c r="B24" s="8"/>
      <c r="C24" s="9"/>
      <c r="D24" s="8"/>
      <c r="E24" s="8"/>
      <c r="F24" s="8"/>
    </row>
    <row r="25" spans="2:14" x14ac:dyDescent="0.2">
      <c r="B25" s="8"/>
      <c r="C25" s="9"/>
      <c r="D25" s="8"/>
      <c r="E25" s="8"/>
      <c r="F25" s="8"/>
    </row>
    <row r="26" spans="2:14" x14ac:dyDescent="0.2">
      <c r="B26" s="8"/>
      <c r="C26" s="9"/>
      <c r="D26" s="8"/>
      <c r="E26" s="8"/>
      <c r="F26" s="8"/>
    </row>
    <row r="27" spans="2:14" x14ac:dyDescent="0.2">
      <c r="B27" s="8"/>
      <c r="C27" s="9"/>
      <c r="D27" s="8"/>
      <c r="E27" s="8"/>
      <c r="F27" s="8"/>
    </row>
    <row r="28" spans="2:14" x14ac:dyDescent="0.2">
      <c r="B28" s="8"/>
      <c r="C28" s="9"/>
      <c r="D28" s="8"/>
      <c r="E28" s="8"/>
      <c r="F28" s="8"/>
    </row>
    <row r="29" spans="2:14" x14ac:dyDescent="0.2">
      <c r="B29" s="8"/>
      <c r="C29" s="9"/>
      <c r="D29" s="8"/>
      <c r="E29" s="8"/>
      <c r="F29" s="8"/>
    </row>
    <row r="30" spans="2:14" x14ac:dyDescent="0.2">
      <c r="B30" s="8"/>
      <c r="C30" s="9"/>
      <c r="D30" s="8"/>
      <c r="E30" s="8"/>
      <c r="F30" s="8"/>
    </row>
    <row r="31" spans="2:14" x14ac:dyDescent="0.2">
      <c r="B31" s="8"/>
      <c r="C31" s="9"/>
      <c r="D31" s="8"/>
      <c r="E31" s="8"/>
      <c r="F31" s="8"/>
    </row>
    <row r="32" spans="2:14" x14ac:dyDescent="0.2">
      <c r="B32" s="8"/>
      <c r="C32" s="9"/>
      <c r="D32" s="8"/>
      <c r="E32" s="8"/>
      <c r="F32" s="8"/>
    </row>
    <row r="33" spans="2:6" x14ac:dyDescent="0.2">
      <c r="B33" s="8"/>
      <c r="C33" s="9"/>
      <c r="D33" s="8"/>
      <c r="E33" s="8"/>
      <c r="F33" s="8"/>
    </row>
    <row r="34" spans="2:6" x14ac:dyDescent="0.2">
      <c r="B34" s="8"/>
      <c r="C34" s="9"/>
      <c r="D34" s="8"/>
      <c r="E34" s="8"/>
      <c r="F34" s="8"/>
    </row>
    <row r="35" spans="2:6" x14ac:dyDescent="0.2">
      <c r="B35" s="8"/>
      <c r="C35" s="9"/>
      <c r="D35" s="8"/>
      <c r="E35" s="8"/>
      <c r="F35" s="8"/>
    </row>
    <row r="36" spans="2:6" x14ac:dyDescent="0.2">
      <c r="B36" s="8"/>
      <c r="C36" s="9"/>
      <c r="D36" s="8"/>
      <c r="E36" s="8"/>
      <c r="F36" s="8"/>
    </row>
    <row r="37" spans="2:6" x14ac:dyDescent="0.2">
      <c r="B37" s="8"/>
      <c r="C37" s="9"/>
      <c r="D37" s="8"/>
      <c r="E37" s="8"/>
      <c r="F37" s="8"/>
    </row>
    <row r="38" spans="2:6" x14ac:dyDescent="0.2">
      <c r="B38" s="8"/>
      <c r="C38" s="9"/>
      <c r="D38" s="8"/>
      <c r="E38" s="8"/>
      <c r="F38" s="8"/>
    </row>
    <row r="39" spans="2:6" x14ac:dyDescent="0.2">
      <c r="B39" s="8"/>
      <c r="C39" s="9"/>
      <c r="D39" s="8"/>
      <c r="E39" s="8"/>
      <c r="F39" s="8"/>
    </row>
    <row r="40" spans="2:6" x14ac:dyDescent="0.2">
      <c r="B40" s="8"/>
      <c r="C40" s="9"/>
      <c r="D40" s="8"/>
      <c r="E40" s="8"/>
      <c r="F40" s="8"/>
    </row>
    <row r="41" spans="2:6" x14ac:dyDescent="0.2">
      <c r="B41" s="8"/>
      <c r="C41" s="9"/>
      <c r="D41" s="8"/>
      <c r="E41" s="8"/>
      <c r="F41" s="8"/>
    </row>
    <row r="42" spans="2:6" x14ac:dyDescent="0.2">
      <c r="B42" s="8"/>
      <c r="C42" s="9"/>
      <c r="D42" s="8"/>
      <c r="E42" s="8"/>
      <c r="F42" s="8"/>
    </row>
    <row r="43" spans="2:6" x14ac:dyDescent="0.2">
      <c r="B43" s="8"/>
      <c r="C43" s="9"/>
      <c r="D43" s="8"/>
      <c r="E43" s="8"/>
      <c r="F43" s="8"/>
    </row>
    <row r="44" spans="2:6" x14ac:dyDescent="0.2">
      <c r="B44" s="8"/>
      <c r="C44" s="9"/>
      <c r="D44" s="8"/>
      <c r="E44" s="8"/>
      <c r="F44" s="8"/>
    </row>
    <row r="45" spans="2:6" x14ac:dyDescent="0.2">
      <c r="B45" s="8"/>
      <c r="C45" s="9"/>
      <c r="D45" s="8"/>
      <c r="E45" s="8"/>
      <c r="F45" s="8"/>
    </row>
    <row r="46" spans="2:6" x14ac:dyDescent="0.2">
      <c r="B46" s="8"/>
      <c r="C46" s="9"/>
      <c r="D46" s="8"/>
      <c r="E46" s="8"/>
      <c r="F46" s="8"/>
    </row>
    <row r="47" spans="2:6" x14ac:dyDescent="0.2">
      <c r="B47" s="8"/>
      <c r="C47" s="9"/>
      <c r="D47" s="8"/>
      <c r="E47" s="8"/>
      <c r="F47" s="8"/>
    </row>
    <row r="48" spans="2:6" x14ac:dyDescent="0.2">
      <c r="B48" s="8"/>
      <c r="C48" s="9"/>
      <c r="D48" s="8"/>
      <c r="E48" s="8"/>
      <c r="F48" s="8"/>
    </row>
    <row r="49" spans="2:6" x14ac:dyDescent="0.2">
      <c r="B49" s="8"/>
      <c r="C49" s="9"/>
      <c r="D49" s="8"/>
      <c r="E49" s="8"/>
      <c r="F49" s="8"/>
    </row>
    <row r="50" spans="2:6" x14ac:dyDescent="0.2">
      <c r="B50" s="8"/>
      <c r="C50" s="9"/>
      <c r="D50" s="8"/>
      <c r="E50" s="8"/>
      <c r="F50" s="8"/>
    </row>
    <row r="51" spans="2:6" x14ac:dyDescent="0.2">
      <c r="B51" s="8"/>
      <c r="C51" s="9"/>
      <c r="D51" s="8"/>
      <c r="E51" s="8"/>
      <c r="F51" s="8"/>
    </row>
    <row r="52" spans="2:6" x14ac:dyDescent="0.2">
      <c r="B52" s="8"/>
      <c r="C52" s="9"/>
      <c r="D52" s="8"/>
      <c r="E52" s="8"/>
      <c r="F52" s="8"/>
    </row>
    <row r="53" spans="2:6" x14ac:dyDescent="0.2">
      <c r="B53" s="8"/>
      <c r="C53" s="9"/>
      <c r="D53" s="8"/>
      <c r="E53" s="8"/>
      <c r="F53" s="8"/>
    </row>
    <row r="54" spans="2:6" x14ac:dyDescent="0.2">
      <c r="B54" s="8"/>
      <c r="C54" s="9"/>
      <c r="D54" s="8"/>
      <c r="E54" s="8"/>
      <c r="F54" s="8"/>
    </row>
    <row r="55" spans="2:6" x14ac:dyDescent="0.2">
      <c r="B55" s="8"/>
      <c r="C55" s="9"/>
      <c r="D55" s="8"/>
      <c r="E55" s="8"/>
      <c r="F55" s="8"/>
    </row>
    <row r="56" spans="2:6" x14ac:dyDescent="0.2">
      <c r="B56" s="8"/>
      <c r="C56" s="9"/>
      <c r="D56" s="8"/>
      <c r="E56" s="8"/>
      <c r="F56" s="8"/>
    </row>
    <row r="57" spans="2:6" x14ac:dyDescent="0.2">
      <c r="B57" s="8"/>
      <c r="C57" s="9"/>
      <c r="D57" s="8"/>
      <c r="E57" s="8"/>
      <c r="F57" s="8"/>
    </row>
    <row r="58" spans="2:6" x14ac:dyDescent="0.2">
      <c r="B58" s="8"/>
      <c r="C58" s="9"/>
      <c r="D58" s="8"/>
      <c r="E58" s="8"/>
      <c r="F58" s="8"/>
    </row>
    <row r="59" spans="2:6" x14ac:dyDescent="0.2">
      <c r="B59" s="8"/>
      <c r="C59" s="9"/>
      <c r="D59" s="8"/>
      <c r="E59" s="8"/>
      <c r="F59" s="8"/>
    </row>
    <row r="60" spans="2:6" x14ac:dyDescent="0.2">
      <c r="B60" s="8"/>
      <c r="C60" s="9"/>
      <c r="D60" s="8"/>
      <c r="E60" s="8"/>
      <c r="F60" s="8"/>
    </row>
    <row r="61" spans="2:6" x14ac:dyDescent="0.2">
      <c r="B61" s="8"/>
      <c r="C61" s="9"/>
      <c r="D61" s="8"/>
      <c r="E61" s="8"/>
      <c r="F61" s="8"/>
    </row>
    <row r="62" spans="2:6" x14ac:dyDescent="0.2">
      <c r="B62" s="8"/>
      <c r="C62" s="9"/>
      <c r="D62" s="8"/>
      <c r="E62" s="8"/>
      <c r="F62" s="8"/>
    </row>
    <row r="63" spans="2:6" x14ac:dyDescent="0.2">
      <c r="B63" s="8"/>
      <c r="C63" s="9"/>
      <c r="D63" s="8"/>
      <c r="E63" s="8"/>
      <c r="F63" s="8"/>
    </row>
    <row r="64" spans="2:6" x14ac:dyDescent="0.2">
      <c r="B64" s="8"/>
      <c r="C64" s="9"/>
      <c r="D64" s="8"/>
      <c r="E64" s="8"/>
      <c r="F64" s="8"/>
    </row>
    <row r="65" spans="2:6" x14ac:dyDescent="0.2">
      <c r="B65" s="8"/>
      <c r="C65" s="9"/>
      <c r="D65" s="8"/>
      <c r="E65" s="8"/>
      <c r="F65" s="8"/>
    </row>
    <row r="66" spans="2:6" x14ac:dyDescent="0.2">
      <c r="B66" s="8"/>
      <c r="C66" s="9"/>
      <c r="D66" s="8"/>
      <c r="E66" s="8"/>
      <c r="F66" s="8"/>
    </row>
    <row r="67" spans="2:6" x14ac:dyDescent="0.2">
      <c r="B67" s="8"/>
      <c r="C67" s="9"/>
      <c r="D67" s="8"/>
      <c r="E67" s="8"/>
      <c r="F67" s="8"/>
    </row>
    <row r="68" spans="2:6" x14ac:dyDescent="0.2">
      <c r="B68" s="8"/>
      <c r="C68" s="9"/>
      <c r="D68" s="8"/>
      <c r="E68" s="8"/>
      <c r="F68" s="8"/>
    </row>
    <row r="69" spans="2:6" x14ac:dyDescent="0.2">
      <c r="B69" s="8"/>
      <c r="C69" s="9"/>
      <c r="D69" s="8"/>
      <c r="E69" s="8"/>
      <c r="F69" s="8"/>
    </row>
    <row r="70" spans="2:6" x14ac:dyDescent="0.2">
      <c r="B70" s="8"/>
      <c r="C70" s="9"/>
      <c r="D70" s="8"/>
      <c r="E70" s="8"/>
      <c r="F70" s="8"/>
    </row>
    <row r="71" spans="2:6" x14ac:dyDescent="0.2">
      <c r="B71" s="8"/>
      <c r="C71" s="9"/>
      <c r="D71" s="8"/>
      <c r="E71" s="8"/>
      <c r="F71" s="8"/>
    </row>
    <row r="72" spans="2:6" x14ac:dyDescent="0.2">
      <c r="B72" s="8"/>
      <c r="C72" s="9"/>
      <c r="D72" s="8"/>
      <c r="E72" s="8"/>
      <c r="F72" s="8"/>
    </row>
    <row r="73" spans="2:6" x14ac:dyDescent="0.2">
      <c r="B73" s="8"/>
      <c r="C73" s="9"/>
      <c r="D73" s="8"/>
      <c r="E73" s="8"/>
      <c r="F73" s="8"/>
    </row>
    <row r="74" spans="2:6" x14ac:dyDescent="0.2">
      <c r="B74" s="8"/>
      <c r="C74" s="9"/>
      <c r="D74" s="8"/>
      <c r="E74" s="8"/>
      <c r="F74" s="8"/>
    </row>
    <row r="75" spans="2:6" x14ac:dyDescent="0.2">
      <c r="B75" s="8"/>
      <c r="C75" s="9"/>
      <c r="D75" s="8"/>
      <c r="E75" s="8"/>
      <c r="F75" s="8"/>
    </row>
    <row r="76" spans="2:6" x14ac:dyDescent="0.2">
      <c r="B76" s="8"/>
      <c r="C76" s="9"/>
      <c r="D76" s="8"/>
      <c r="E76" s="8"/>
      <c r="F76" s="8"/>
    </row>
    <row r="77" spans="2:6" x14ac:dyDescent="0.2">
      <c r="B77" s="8"/>
      <c r="C77" s="9"/>
      <c r="D77" s="8"/>
      <c r="E77" s="8"/>
      <c r="F77" s="8"/>
    </row>
    <row r="78" spans="2:6" x14ac:dyDescent="0.2">
      <c r="B78" s="8"/>
      <c r="C78" s="9"/>
      <c r="D78" s="8"/>
      <c r="E78" s="8"/>
      <c r="F78" s="8"/>
    </row>
    <row r="79" spans="2:6" x14ac:dyDescent="0.2">
      <c r="B79" s="8"/>
      <c r="C79" s="9"/>
      <c r="D79" s="8"/>
      <c r="E79" s="8"/>
      <c r="F79" s="8"/>
    </row>
    <row r="80" spans="2:6" x14ac:dyDescent="0.2">
      <c r="B80" s="8"/>
      <c r="C80" s="9"/>
      <c r="D80" s="8"/>
      <c r="E80" s="8"/>
      <c r="F80" s="8"/>
    </row>
    <row r="81" spans="2:6" x14ac:dyDescent="0.2">
      <c r="B81" s="8"/>
      <c r="C81" s="9"/>
      <c r="D81" s="8"/>
      <c r="E81" s="8"/>
      <c r="F81" s="8"/>
    </row>
    <row r="82" spans="2:6" x14ac:dyDescent="0.2">
      <c r="B82" s="8"/>
      <c r="C82" s="9"/>
      <c r="D82" s="8"/>
      <c r="E82" s="8"/>
      <c r="F82" s="8"/>
    </row>
    <row r="83" spans="2:6" x14ac:dyDescent="0.2">
      <c r="B83" s="8"/>
      <c r="C83" s="9"/>
      <c r="D83" s="8"/>
      <c r="E83" s="8"/>
      <c r="F83" s="8"/>
    </row>
    <row r="84" spans="2:6" x14ac:dyDescent="0.2">
      <c r="B84" s="8"/>
      <c r="C84" s="9"/>
      <c r="D84" s="8"/>
      <c r="E84" s="8"/>
      <c r="F84" s="8"/>
    </row>
    <row r="85" spans="2:6" x14ac:dyDescent="0.2">
      <c r="B85" s="8"/>
      <c r="C85" s="9"/>
      <c r="D85" s="8"/>
      <c r="E85" s="8"/>
      <c r="F85" s="8"/>
    </row>
    <row r="86" spans="2:6" x14ac:dyDescent="0.2">
      <c r="B86" s="8"/>
      <c r="C86" s="9"/>
      <c r="D86" s="8"/>
      <c r="E86" s="8"/>
      <c r="F86" s="8"/>
    </row>
    <row r="87" spans="2:6" x14ac:dyDescent="0.2">
      <c r="B87" s="8"/>
      <c r="C87" s="9"/>
      <c r="D87" s="8"/>
      <c r="E87" s="8"/>
      <c r="F87" s="8"/>
    </row>
    <row r="88" spans="2:6" x14ac:dyDescent="0.2">
      <c r="B88" s="8"/>
      <c r="C88" s="9"/>
      <c r="D88" s="8"/>
      <c r="E88" s="8"/>
      <c r="F88" s="8"/>
    </row>
    <row r="89" spans="2:6" x14ac:dyDescent="0.2">
      <c r="B89" s="8"/>
      <c r="C89" s="9"/>
      <c r="D89" s="8"/>
      <c r="E89" s="8"/>
      <c r="F89" s="8"/>
    </row>
    <row r="90" spans="2:6" x14ac:dyDescent="0.2">
      <c r="B90" s="8"/>
      <c r="C90" s="9"/>
      <c r="D90" s="8"/>
      <c r="E90" s="8"/>
      <c r="F90" s="8"/>
    </row>
    <row r="91" spans="2:6" x14ac:dyDescent="0.2">
      <c r="B91" s="8"/>
      <c r="C91" s="9"/>
      <c r="D91" s="8"/>
      <c r="E91" s="8"/>
      <c r="F91" s="8"/>
    </row>
    <row r="92" spans="2:6" x14ac:dyDescent="0.2">
      <c r="B92" s="8"/>
      <c r="C92" s="9"/>
      <c r="D92" s="8"/>
      <c r="E92" s="8"/>
      <c r="F92" s="8"/>
    </row>
    <row r="93" spans="2:6" x14ac:dyDescent="0.2">
      <c r="B93" s="8"/>
      <c r="C93" s="9"/>
      <c r="D93" s="8"/>
      <c r="E93" s="8"/>
      <c r="F93" s="8"/>
    </row>
    <row r="94" spans="2:6" x14ac:dyDescent="0.2">
      <c r="B94" s="8"/>
      <c r="C94" s="9"/>
      <c r="D94" s="8"/>
      <c r="E94" s="8"/>
      <c r="F94" s="8"/>
    </row>
    <row r="95" spans="2:6" x14ac:dyDescent="0.2">
      <c r="B95" s="8"/>
      <c r="C95" s="9"/>
      <c r="D95" s="8"/>
      <c r="E95" s="8"/>
      <c r="F95" s="8"/>
    </row>
    <row r="96" spans="2:6" x14ac:dyDescent="0.2">
      <c r="B96" s="8"/>
      <c r="C96" s="9"/>
      <c r="D96" s="8"/>
      <c r="E96" s="8"/>
      <c r="F96" s="8"/>
    </row>
    <row r="97" spans="2:6" x14ac:dyDescent="0.2">
      <c r="B97" s="8"/>
      <c r="C97" s="9"/>
      <c r="D97" s="8"/>
      <c r="E97" s="8"/>
      <c r="F97" s="8"/>
    </row>
    <row r="98" spans="2:6" x14ac:dyDescent="0.2">
      <c r="B98" s="8"/>
      <c r="C98" s="9"/>
      <c r="D98" s="8"/>
      <c r="E98" s="8"/>
      <c r="F98" s="8"/>
    </row>
    <row r="99" spans="2:6" x14ac:dyDescent="0.2">
      <c r="B99" s="8"/>
      <c r="C99" s="9"/>
      <c r="D99" s="8"/>
      <c r="E99" s="8"/>
      <c r="F99" s="8"/>
    </row>
    <row r="100" spans="2:6" x14ac:dyDescent="0.2">
      <c r="B100" s="8"/>
      <c r="C100" s="9"/>
      <c r="D100" s="8"/>
      <c r="E100" s="8"/>
      <c r="F100" s="8"/>
    </row>
  </sheetData>
  <mergeCells count="1">
    <mergeCell ref="A3:I3"/>
  </mergeCells>
  <conditionalFormatting sqref="C6:C10">
    <cfRule type="expression" dxfId="44" priority="1">
      <formula>C6&gt;0</formula>
    </cfRule>
  </conditionalFormatting>
  <conditionalFormatting sqref="C6:C10">
    <cfRule type="expression" dxfId="43" priority="2">
      <formula>C6&lt;0</formula>
    </cfRule>
  </conditionalFormatting>
  <conditionalFormatting sqref="F6:F10">
    <cfRule type="expression" dxfId="42" priority="3">
      <formula>AND(ISNUMBER(F6),F6&gt;100)</formula>
    </cfRule>
  </conditionalFormatting>
  <conditionalFormatting sqref="H6:H10">
    <cfRule type="expression" dxfId="41" priority="4">
      <formula>H6="OUTLIER"</formula>
    </cfRule>
  </conditionalFormatting>
  <conditionalFormatting sqref="I6:I10">
    <cfRule type="expression" dxfId="40" priority="5">
      <formula>I6="PASS"</formula>
    </cfRule>
  </conditionalFormatting>
  <conditionalFormatting sqref="I6:I10">
    <cfRule type="expression" dxfId="39" priority="6">
      <formula>I6&lt;&gt;"PASS"</formula>
    </cfRule>
  </conditionalFormatting>
  <conditionalFormatting sqref="K5:M7">
    <cfRule type="expression" dxfId="38" priority="7">
      <formula>K5="Largest Positive Move"</formula>
    </cfRule>
  </conditionalFormatting>
  <conditionalFormatting sqref="K5:M7">
    <cfRule type="expression" dxfId="37" priority="8">
      <formula>K5="Largest Negative Move"</formula>
    </cfRule>
  </conditionalFormatting>
  <conditionalFormatting sqref="K5:M7">
    <cfRule type="expression" dxfId="36" priority="9">
      <formula>K5="Widest Spread"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3F8C-EA00-9748-92B5-100C31EFAEE0}">
  <dimension ref="A1:N500"/>
  <sheetViews>
    <sheetView showGridLines="0" topLeftCell="H1" workbookViewId="0">
      <pane ySplit="5" topLeftCell="A6" activePane="bottomLeft" state="frozen"/>
      <selection pane="bottomLeft" activeCell="B35" sqref="B35"/>
    </sheetView>
  </sheetViews>
  <sheetFormatPr baseColWidth="10" defaultRowHeight="16" x14ac:dyDescent="0.2"/>
  <cols>
    <col min="1" max="1" width="16.6640625" style="3" customWidth="1"/>
    <col min="2" max="2" width="36.6640625" style="3" customWidth="1"/>
    <col min="3" max="3" width="15.83203125" style="3" customWidth="1"/>
    <col min="4" max="4" width="28.33203125" style="3" customWidth="1"/>
    <col min="5" max="5" width="12.5" style="3" customWidth="1"/>
    <col min="6" max="6" width="22.5" style="3" customWidth="1"/>
    <col min="7" max="7" width="23.33203125" style="3" customWidth="1"/>
    <col min="8" max="8" width="40" style="3" customWidth="1"/>
    <col min="9" max="9" width="4.1640625" style="3" customWidth="1"/>
    <col min="10" max="10" width="16.6640625" style="3" customWidth="1"/>
    <col min="11" max="11" width="36.6640625" style="3" customWidth="1"/>
    <col min="12" max="13" width="14.1640625" style="3" customWidth="1"/>
    <col min="14" max="14" width="28.33203125" style="3" customWidth="1"/>
  </cols>
  <sheetData>
    <row r="1" spans="1:14" ht="24" x14ac:dyDescent="0.3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2" t="s">
        <v>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s="25" customFormat="1" ht="32" customHeight="1" x14ac:dyDescent="0.2">
      <c r="A3" s="38" t="s">
        <v>124</v>
      </c>
      <c r="B3" s="38"/>
      <c r="C3" s="38"/>
      <c r="D3" s="38"/>
      <c r="E3" s="38"/>
      <c r="F3" s="38"/>
      <c r="G3" s="38"/>
      <c r="H3" s="38"/>
      <c r="I3" s="18"/>
      <c r="J3" s="18"/>
      <c r="K3" s="18"/>
      <c r="L3" s="18"/>
      <c r="M3" s="18"/>
      <c r="N3" s="18"/>
    </row>
    <row r="4" spans="1:14" x14ac:dyDescent="0.2">
      <c r="A4" s="5" t="s">
        <v>55</v>
      </c>
      <c r="B4" s="5"/>
      <c r="C4" s="5"/>
      <c r="D4" s="5"/>
      <c r="E4" s="5"/>
      <c r="F4" s="5"/>
      <c r="G4" s="5"/>
      <c r="H4" s="5"/>
      <c r="J4" s="5" t="s">
        <v>127</v>
      </c>
      <c r="K4" s="5"/>
      <c r="L4" s="5"/>
      <c r="M4" s="5"/>
      <c r="N4" s="5"/>
    </row>
    <row r="5" spans="1:14" s="30" customFormat="1" ht="40" customHeight="1" thickBot="1" x14ac:dyDescent="0.25">
      <c r="A5" s="27" t="s">
        <v>56</v>
      </c>
      <c r="B5" s="27" t="s">
        <v>57</v>
      </c>
      <c r="C5" s="27" t="s">
        <v>397</v>
      </c>
      <c r="D5" s="27" t="s">
        <v>125</v>
      </c>
      <c r="E5" s="27" t="s">
        <v>59</v>
      </c>
      <c r="F5" s="27" t="s">
        <v>60</v>
      </c>
      <c r="G5" s="27" t="s">
        <v>398</v>
      </c>
      <c r="H5" s="27" t="s">
        <v>126</v>
      </c>
      <c r="I5" s="28"/>
      <c r="J5" s="29" t="s">
        <v>56</v>
      </c>
      <c r="K5" s="29" t="s">
        <v>57</v>
      </c>
      <c r="L5" s="29" t="s">
        <v>120</v>
      </c>
      <c r="M5" s="29" t="s">
        <v>59</v>
      </c>
      <c r="N5" s="29" t="s">
        <v>128</v>
      </c>
    </row>
    <row r="6" spans="1:14" x14ac:dyDescent="0.2">
      <c r="A6" s="3" t="s">
        <v>129</v>
      </c>
      <c r="B6" s="3" t="s">
        <v>11</v>
      </c>
      <c r="C6" s="13" t="str">
        <f>_xlfn.XLOOKUP("Effective Federal Funds Rate",macro[indicator],macro[source_date],"")</f>
        <v>2026-09-22</v>
      </c>
      <c r="D6" s="42">
        <f>_xlfn.XLOOKUP("Effective Federal Funds Rate",macro[indicator],macro[dashboard_value],"")</f>
        <v>3.88</v>
      </c>
      <c r="E6" s="3" t="str">
        <f>_xlfn.XLOOKUP("Effective Federal Funds Rate",macro[indicator],macro[dashboard_unit],"")</f>
        <v>Percent</v>
      </c>
      <c r="F6" s="3" t="str">
        <f>_xlfn.XLOOKUP("Effective Federal Funds Rate",macro[indicator],macro[source],"")</f>
        <v>FRED</v>
      </c>
      <c r="G6" s="14">
        <f>_xlfn.XLOOKUP("Effective Federal Funds Rate",macro[indicator],macro[ingested_at_utc],"")</f>
        <v>46288.741874733794</v>
      </c>
      <c r="H6" s="3" t="str">
        <f>IF(D6="","UNAVAILABLE","VALID")</f>
        <v>VALID</v>
      </c>
      <c r="J6" s="3" t="str">
        <f t="shared" ref="J6:K11" si="0">A6</f>
        <v>United States</v>
      </c>
      <c r="K6" s="3" t="str">
        <f t="shared" si="0"/>
        <v>Effective Federal Funds Rate</v>
      </c>
      <c r="L6" s="42">
        <f t="shared" ref="L6:M11" si="1">D6</f>
        <v>3.88</v>
      </c>
      <c r="M6" s="3" t="str">
        <f t="shared" si="1"/>
        <v>Percent</v>
      </c>
      <c r="N6" s="3" t="str">
        <f t="shared" ref="N6:N11" si="2">H6</f>
        <v>VALID</v>
      </c>
    </row>
    <row r="7" spans="1:14" x14ac:dyDescent="0.2">
      <c r="A7" s="3" t="s">
        <v>129</v>
      </c>
      <c r="B7" s="3" t="s">
        <v>12</v>
      </c>
      <c r="C7" s="13" t="str">
        <f>_xlfn.XLOOKUP("US 10Y Treasury Yield",macro[indicator],macro[source_date],"")</f>
        <v>2026-09-22</v>
      </c>
      <c r="D7" s="42">
        <f>_xlfn.XLOOKUP("US 10Y Treasury Yield",macro[indicator],macro[dashboard_value],"")</f>
        <v>4.96</v>
      </c>
      <c r="E7" s="3" t="str">
        <f>_xlfn.XLOOKUP("US 10Y Treasury Yield",macro[indicator],macro[dashboard_unit],"")</f>
        <v>Percent</v>
      </c>
      <c r="F7" s="3" t="str">
        <f>_xlfn.XLOOKUP("US 10Y Treasury Yield",macro[indicator],macro[source],"")</f>
        <v>FRED</v>
      </c>
      <c r="G7" s="14">
        <f>_xlfn.XLOOKUP("US 10Y Treasury Yield",macro[indicator],macro[ingested_at_utc],"")</f>
        <v>46288.741874733794</v>
      </c>
      <c r="H7" s="3" t="str">
        <f>IF(D7="","UNAVAILABLE","VALID")</f>
        <v>VALID</v>
      </c>
      <c r="J7" s="3" t="str">
        <f t="shared" si="0"/>
        <v>United States</v>
      </c>
      <c r="K7" s="3" t="str">
        <f t="shared" si="0"/>
        <v>US 10Y Treasury Yield</v>
      </c>
      <c r="L7" s="42">
        <f t="shared" si="1"/>
        <v>4.96</v>
      </c>
      <c r="M7" s="3" t="str">
        <f t="shared" si="1"/>
        <v>Percent</v>
      </c>
      <c r="N7" s="3" t="str">
        <f t="shared" si="2"/>
        <v>VALID</v>
      </c>
    </row>
    <row r="8" spans="1:14" x14ac:dyDescent="0.2">
      <c r="A8" s="3" t="s">
        <v>129</v>
      </c>
      <c r="B8" s="3" t="s">
        <v>13</v>
      </c>
      <c r="C8" s="13" t="str">
        <f>_xlfn.XLOOKUP("US CPI",macro[indicator],macro[source_date],"")</f>
        <v>2026-08-01</v>
      </c>
      <c r="D8" s="42">
        <f>_xlfn.XLOOKUP("US CPI",macro[indicator],macro[dashboard_value],"")</f>
        <v>3.7129581058388483</v>
      </c>
      <c r="E8" s="3" t="str">
        <f>_xlfn.XLOOKUP("US CPI",macro[indicator],macro[dashboard_unit],"")</f>
        <v>Percent YoY</v>
      </c>
      <c r="F8" s="3" t="str">
        <f>_xlfn.XLOOKUP("US CPI",macro[indicator],macro[source],"")</f>
        <v>FRED</v>
      </c>
      <c r="G8" s="14">
        <f>_xlfn.XLOOKUP("US CPI",macro[indicator],macro[ingested_at_utc],"")</f>
        <v>46288.741874733794</v>
      </c>
      <c r="H8" s="3" t="str">
        <f>IF(AND(ISNUMBER(D8),ABS(D8)&lt;=25,ISNUMBER(SEARCH("YoY",E8))),"VALID YOY PERCENT","INVALID / UNAVAILABLE")</f>
        <v>VALID YOY PERCENT</v>
      </c>
      <c r="J8" s="3" t="str">
        <f t="shared" si="0"/>
        <v>United States</v>
      </c>
      <c r="K8" s="3" t="str">
        <f t="shared" si="0"/>
        <v>US CPI YoY</v>
      </c>
      <c r="L8" s="42">
        <f t="shared" si="1"/>
        <v>3.7129581058388483</v>
      </c>
      <c r="M8" s="3" t="str">
        <f t="shared" si="1"/>
        <v>Percent YoY</v>
      </c>
      <c r="N8" s="3" t="str">
        <f t="shared" si="2"/>
        <v>VALID YOY PERCENT</v>
      </c>
    </row>
    <row r="9" spans="1:14" x14ac:dyDescent="0.2">
      <c r="A9" s="3" t="s">
        <v>130</v>
      </c>
      <c r="B9" s="3" t="s">
        <v>14</v>
      </c>
      <c r="C9" s="13" t="str">
        <f>_xlfn.XLOOKUP("Japan 10Y Government Bond Yield",macro[indicator],macro[source_date],"")</f>
        <v>2026-08-01</v>
      </c>
      <c r="D9" s="42">
        <f>_xlfn.XLOOKUP("Japan 10Y Government Bond Yield",macro[indicator],macro[dashboard_value],"")</f>
        <v>2.94</v>
      </c>
      <c r="E9" s="3" t="str">
        <f>_xlfn.XLOOKUP("Japan 10Y Government Bond Yield",macro[indicator],macro[dashboard_unit],"")</f>
        <v>Percent</v>
      </c>
      <c r="F9" s="3" t="str">
        <f>_xlfn.XLOOKUP("Japan 10Y Government Bond Yield",macro[indicator],macro[source],"")</f>
        <v>FRED</v>
      </c>
      <c r="G9" s="14">
        <f>_xlfn.XLOOKUP("Japan 10Y Government Bond Yield",macro[indicator],macro[ingested_at_utc],"")</f>
        <v>46288.741874733794</v>
      </c>
      <c r="H9" s="3" t="str">
        <f>IF(D9="","UNAVAILABLE","VALID")</f>
        <v>VALID</v>
      </c>
      <c r="J9" s="3" t="str">
        <f t="shared" si="0"/>
        <v>Japan</v>
      </c>
      <c r="K9" s="3" t="str">
        <f t="shared" si="0"/>
        <v>Japan 10Y Government Bond Yield</v>
      </c>
      <c r="L9" s="42">
        <f t="shared" si="1"/>
        <v>2.94</v>
      </c>
      <c r="M9" s="3" t="str">
        <f t="shared" si="1"/>
        <v>Percent</v>
      </c>
      <c r="N9" s="3" t="str">
        <f t="shared" si="2"/>
        <v>VALID</v>
      </c>
    </row>
    <row r="10" spans="1:14" x14ac:dyDescent="0.2">
      <c r="A10" s="3" t="s">
        <v>130</v>
      </c>
      <c r="B10" s="3" t="s">
        <v>15</v>
      </c>
      <c r="C10" s="13" t="str">
        <f>_xlfn.XLOOKUP("Japan Overnight Call / Interbank Rate",macro[indicator],macro[source_date],"")</f>
        <v>2026-08-01</v>
      </c>
      <c r="D10" s="42">
        <f>_xlfn.XLOOKUP("Japan Overnight Call / Interbank Rate",macro[indicator],macro[dashboard_value],"")</f>
        <v>0.97699999999999998</v>
      </c>
      <c r="E10" s="3" t="str">
        <f>_xlfn.XLOOKUP("Japan Overnight Call / Interbank Rate",macro[indicator],macro[dashboard_unit],"")</f>
        <v>Percent</v>
      </c>
      <c r="F10" s="3" t="str">
        <f>_xlfn.XLOOKUP("Japan Overnight Call / Interbank Rate",macro[indicator],macro[source],"")</f>
        <v>FRED</v>
      </c>
      <c r="G10" s="14">
        <f>_xlfn.XLOOKUP("Japan Overnight Call / Interbank Rate",macro[indicator],macro[ingested_at_utc],"")</f>
        <v>46288.741874733794</v>
      </c>
      <c r="H10" s="3" t="str">
        <f>IF(D10="","UNAVAILABLE","VALID")</f>
        <v>VALID</v>
      </c>
      <c r="J10" s="3" t="str">
        <f t="shared" si="0"/>
        <v>Japan</v>
      </c>
      <c r="K10" s="3" t="str">
        <f t="shared" si="0"/>
        <v>Japan Overnight / Interbank Rate</v>
      </c>
      <c r="L10" s="42">
        <f t="shared" si="1"/>
        <v>0.97699999999999998</v>
      </c>
      <c r="M10" s="3" t="str">
        <f t="shared" si="1"/>
        <v>Percent</v>
      </c>
      <c r="N10" s="3" t="str">
        <f t="shared" si="2"/>
        <v>VALID</v>
      </c>
    </row>
    <row r="11" spans="1:14" x14ac:dyDescent="0.2">
      <c r="A11" s="3" t="s">
        <v>130</v>
      </c>
      <c r="B11" s="3" t="s">
        <v>16</v>
      </c>
      <c r="C11" s="13"/>
      <c r="D11" s="61"/>
      <c r="E11" s="60"/>
      <c r="F11" s="3" t="str">
        <f>_xlfn.XLOOKUP("Japan CPI YoY",macro[indicator],macro[source],"")</f>
        <v>Japan e-Stat</v>
      </c>
      <c r="G11" s="14">
        <f>_xlfn.XLOOKUP("Japan CPI YoY",macro[indicator],macro[ingested_at_utc],"")</f>
        <v>46288.754115636577</v>
      </c>
      <c r="H11" s="3" t="str">
        <f>_xlfn.LET(_xlpm.v,_xlfn.XLOOKUP("Japan CPI YoY",macro[indicator],macro[dashboard_value],""),_xlpm.u,_xlfn.XLOOKUP("Japan CPI YoY",macro[indicator],macro[dashboard_unit],""),IF(AND(ISNUMBER(_xlpm.v),ISNUMBER(SEARCH("YoY",_xlpm.u)),ABS(_xlpm.v)&lt;=25),"VALID YOY PERCENT","INVALID / UNAVAILABLE — source value fails YoY validation"))</f>
        <v>INVALID / UNAVAILABLE — source value fails YoY validation</v>
      </c>
      <c r="J11" s="3" t="str">
        <f t="shared" si="0"/>
        <v>Japan</v>
      </c>
      <c r="K11" s="3" t="str">
        <f t="shared" si="0"/>
        <v>Japan CPI YoY</v>
      </c>
      <c r="L11" s="61">
        <f t="shared" si="1"/>
        <v>0</v>
      </c>
      <c r="M11" s="60">
        <f t="shared" si="1"/>
        <v>0</v>
      </c>
      <c r="N11" s="3" t="str">
        <f t="shared" si="2"/>
        <v>INVALID / UNAVAILABLE — source value fails YoY validation</v>
      </c>
    </row>
    <row r="12" spans="1:14" x14ac:dyDescent="0.2">
      <c r="C12" s="13"/>
      <c r="G12" s="14"/>
    </row>
    <row r="13" spans="1:14" x14ac:dyDescent="0.2">
      <c r="C13" s="13"/>
      <c r="G13" s="14"/>
    </row>
    <row r="14" spans="1:14" x14ac:dyDescent="0.2">
      <c r="C14" s="13"/>
      <c r="G14" s="14"/>
    </row>
    <row r="15" spans="1:14" x14ac:dyDescent="0.2">
      <c r="C15" s="13"/>
      <c r="G15" s="14"/>
    </row>
    <row r="16" spans="1:14" x14ac:dyDescent="0.2">
      <c r="C16" s="13"/>
      <c r="G16" s="14"/>
    </row>
    <row r="17" spans="3:7" x14ac:dyDescent="0.2">
      <c r="C17" s="13"/>
      <c r="G17" s="14"/>
    </row>
    <row r="18" spans="3:7" x14ac:dyDescent="0.2">
      <c r="C18" s="13"/>
      <c r="G18" s="14"/>
    </row>
    <row r="19" spans="3:7" x14ac:dyDescent="0.2">
      <c r="C19" s="13"/>
      <c r="G19" s="14"/>
    </row>
    <row r="20" spans="3:7" x14ac:dyDescent="0.2">
      <c r="C20" s="13"/>
      <c r="G20" s="14"/>
    </row>
    <row r="21" spans="3:7" x14ac:dyDescent="0.2">
      <c r="C21" s="13"/>
      <c r="G21" s="14"/>
    </row>
    <row r="22" spans="3:7" x14ac:dyDescent="0.2">
      <c r="C22" s="13"/>
      <c r="G22" s="14"/>
    </row>
    <row r="23" spans="3:7" x14ac:dyDescent="0.2">
      <c r="C23" s="13"/>
      <c r="G23" s="14"/>
    </row>
    <row r="24" spans="3:7" x14ac:dyDescent="0.2">
      <c r="C24" s="13"/>
      <c r="G24" s="14"/>
    </row>
    <row r="25" spans="3:7" x14ac:dyDescent="0.2">
      <c r="C25" s="13"/>
      <c r="G25" s="14"/>
    </row>
    <row r="26" spans="3:7" x14ac:dyDescent="0.2">
      <c r="C26" s="13"/>
      <c r="G26" s="14"/>
    </row>
    <row r="27" spans="3:7" x14ac:dyDescent="0.2">
      <c r="C27" s="13"/>
      <c r="G27" s="14"/>
    </row>
    <row r="28" spans="3:7" x14ac:dyDescent="0.2">
      <c r="C28" s="13"/>
      <c r="G28" s="14"/>
    </row>
    <row r="29" spans="3:7" x14ac:dyDescent="0.2">
      <c r="C29" s="13"/>
      <c r="G29" s="14"/>
    </row>
    <row r="30" spans="3:7" x14ac:dyDescent="0.2">
      <c r="C30" s="13"/>
      <c r="G30" s="14"/>
    </row>
    <row r="31" spans="3:7" x14ac:dyDescent="0.2">
      <c r="C31" s="13"/>
      <c r="G31" s="14"/>
    </row>
    <row r="32" spans="3:7" x14ac:dyDescent="0.2">
      <c r="C32" s="13"/>
      <c r="G32" s="14"/>
    </row>
    <row r="33" spans="3:7" x14ac:dyDescent="0.2">
      <c r="C33" s="13"/>
      <c r="G33" s="14"/>
    </row>
    <row r="34" spans="3:7" x14ac:dyDescent="0.2">
      <c r="C34" s="13"/>
      <c r="G34" s="14"/>
    </row>
    <row r="35" spans="3:7" x14ac:dyDescent="0.2">
      <c r="C35" s="13"/>
      <c r="G35" s="14"/>
    </row>
    <row r="36" spans="3:7" x14ac:dyDescent="0.2">
      <c r="C36" s="13"/>
      <c r="G36" s="14"/>
    </row>
    <row r="37" spans="3:7" x14ac:dyDescent="0.2">
      <c r="C37" s="13"/>
      <c r="G37" s="14"/>
    </row>
    <row r="38" spans="3:7" x14ac:dyDescent="0.2">
      <c r="C38" s="13"/>
      <c r="G38" s="14"/>
    </row>
    <row r="39" spans="3:7" x14ac:dyDescent="0.2">
      <c r="C39" s="13"/>
      <c r="G39" s="14"/>
    </row>
    <row r="40" spans="3:7" x14ac:dyDescent="0.2">
      <c r="C40" s="13"/>
      <c r="G40" s="14"/>
    </row>
    <row r="41" spans="3:7" x14ac:dyDescent="0.2">
      <c r="C41" s="13"/>
      <c r="G41" s="14"/>
    </row>
    <row r="42" spans="3:7" x14ac:dyDescent="0.2">
      <c r="C42" s="13"/>
      <c r="G42" s="14"/>
    </row>
    <row r="43" spans="3:7" x14ac:dyDescent="0.2">
      <c r="C43" s="13"/>
      <c r="G43" s="14"/>
    </row>
    <row r="44" spans="3:7" x14ac:dyDescent="0.2">
      <c r="C44" s="13"/>
      <c r="G44" s="14"/>
    </row>
    <row r="45" spans="3:7" x14ac:dyDescent="0.2">
      <c r="C45" s="13"/>
      <c r="G45" s="14"/>
    </row>
    <row r="46" spans="3:7" x14ac:dyDescent="0.2">
      <c r="C46" s="13"/>
      <c r="G46" s="14"/>
    </row>
    <row r="47" spans="3:7" x14ac:dyDescent="0.2">
      <c r="C47" s="13"/>
      <c r="G47" s="14"/>
    </row>
    <row r="48" spans="3:7" x14ac:dyDescent="0.2">
      <c r="C48" s="13"/>
      <c r="G48" s="14"/>
    </row>
    <row r="49" spans="3:7" x14ac:dyDescent="0.2">
      <c r="C49" s="13"/>
      <c r="G49" s="14"/>
    </row>
    <row r="50" spans="3:7" x14ac:dyDescent="0.2">
      <c r="C50" s="13"/>
      <c r="G50" s="14"/>
    </row>
    <row r="51" spans="3:7" x14ac:dyDescent="0.2">
      <c r="C51" s="13"/>
      <c r="G51" s="14"/>
    </row>
    <row r="52" spans="3:7" x14ac:dyDescent="0.2">
      <c r="C52" s="13"/>
      <c r="G52" s="14"/>
    </row>
    <row r="53" spans="3:7" x14ac:dyDescent="0.2">
      <c r="C53" s="13"/>
      <c r="G53" s="14"/>
    </row>
    <row r="54" spans="3:7" x14ac:dyDescent="0.2">
      <c r="C54" s="13"/>
      <c r="G54" s="14"/>
    </row>
    <row r="55" spans="3:7" x14ac:dyDescent="0.2">
      <c r="C55" s="13"/>
      <c r="G55" s="14"/>
    </row>
    <row r="56" spans="3:7" x14ac:dyDescent="0.2">
      <c r="C56" s="13"/>
      <c r="G56" s="14"/>
    </row>
    <row r="57" spans="3:7" x14ac:dyDescent="0.2">
      <c r="C57" s="13"/>
      <c r="G57" s="14"/>
    </row>
    <row r="58" spans="3:7" x14ac:dyDescent="0.2">
      <c r="C58" s="13"/>
      <c r="G58" s="14"/>
    </row>
    <row r="59" spans="3:7" x14ac:dyDescent="0.2">
      <c r="C59" s="13"/>
      <c r="G59" s="14"/>
    </row>
    <row r="60" spans="3:7" x14ac:dyDescent="0.2">
      <c r="C60" s="13"/>
      <c r="G60" s="14"/>
    </row>
    <row r="61" spans="3:7" x14ac:dyDescent="0.2">
      <c r="C61" s="13"/>
      <c r="G61" s="14"/>
    </row>
    <row r="62" spans="3:7" x14ac:dyDescent="0.2">
      <c r="C62" s="13"/>
      <c r="G62" s="14"/>
    </row>
    <row r="63" spans="3:7" x14ac:dyDescent="0.2">
      <c r="C63" s="13"/>
      <c r="G63" s="14"/>
    </row>
    <row r="64" spans="3:7" x14ac:dyDescent="0.2">
      <c r="C64" s="13"/>
      <c r="G64" s="14"/>
    </row>
    <row r="65" spans="3:7" x14ac:dyDescent="0.2">
      <c r="C65" s="13"/>
      <c r="G65" s="14"/>
    </row>
    <row r="66" spans="3:7" x14ac:dyDescent="0.2">
      <c r="C66" s="13"/>
      <c r="G66" s="14"/>
    </row>
    <row r="67" spans="3:7" x14ac:dyDescent="0.2">
      <c r="C67" s="13"/>
      <c r="G67" s="14"/>
    </row>
    <row r="68" spans="3:7" x14ac:dyDescent="0.2">
      <c r="C68" s="13"/>
      <c r="G68" s="14"/>
    </row>
    <row r="69" spans="3:7" x14ac:dyDescent="0.2">
      <c r="C69" s="13"/>
      <c r="G69" s="14"/>
    </row>
    <row r="70" spans="3:7" x14ac:dyDescent="0.2">
      <c r="C70" s="13"/>
      <c r="G70" s="14"/>
    </row>
    <row r="71" spans="3:7" x14ac:dyDescent="0.2">
      <c r="C71" s="13"/>
      <c r="G71" s="14"/>
    </row>
    <row r="72" spans="3:7" x14ac:dyDescent="0.2">
      <c r="C72" s="13"/>
      <c r="G72" s="14"/>
    </row>
    <row r="73" spans="3:7" x14ac:dyDescent="0.2">
      <c r="C73" s="13"/>
      <c r="G73" s="14"/>
    </row>
    <row r="74" spans="3:7" x14ac:dyDescent="0.2">
      <c r="C74" s="13"/>
      <c r="G74" s="14"/>
    </row>
    <row r="75" spans="3:7" x14ac:dyDescent="0.2">
      <c r="C75" s="13"/>
      <c r="G75" s="14"/>
    </row>
    <row r="76" spans="3:7" x14ac:dyDescent="0.2">
      <c r="C76" s="13"/>
      <c r="G76" s="14"/>
    </row>
    <row r="77" spans="3:7" x14ac:dyDescent="0.2">
      <c r="C77" s="13"/>
      <c r="G77" s="14"/>
    </row>
    <row r="78" spans="3:7" x14ac:dyDescent="0.2">
      <c r="C78" s="13"/>
      <c r="G78" s="14"/>
    </row>
    <row r="79" spans="3:7" x14ac:dyDescent="0.2">
      <c r="C79" s="13"/>
      <c r="G79" s="14"/>
    </row>
    <row r="80" spans="3:7" x14ac:dyDescent="0.2">
      <c r="C80" s="13"/>
      <c r="G80" s="14"/>
    </row>
    <row r="81" spans="3:7" x14ac:dyDescent="0.2">
      <c r="C81" s="13"/>
      <c r="G81" s="14"/>
    </row>
    <row r="82" spans="3:7" x14ac:dyDescent="0.2">
      <c r="C82" s="13"/>
      <c r="G82" s="14"/>
    </row>
    <row r="83" spans="3:7" x14ac:dyDescent="0.2">
      <c r="C83" s="13"/>
      <c r="G83" s="14"/>
    </row>
    <row r="84" spans="3:7" x14ac:dyDescent="0.2">
      <c r="C84" s="13"/>
      <c r="G84" s="14"/>
    </row>
    <row r="85" spans="3:7" x14ac:dyDescent="0.2">
      <c r="C85" s="13"/>
      <c r="G85" s="14"/>
    </row>
    <row r="86" spans="3:7" x14ac:dyDescent="0.2">
      <c r="C86" s="13"/>
      <c r="G86" s="14"/>
    </row>
    <row r="87" spans="3:7" x14ac:dyDescent="0.2">
      <c r="C87" s="13"/>
      <c r="G87" s="14"/>
    </row>
    <row r="88" spans="3:7" x14ac:dyDescent="0.2">
      <c r="C88" s="13"/>
      <c r="G88" s="14"/>
    </row>
    <row r="89" spans="3:7" x14ac:dyDescent="0.2">
      <c r="C89" s="13"/>
      <c r="G89" s="14"/>
    </row>
    <row r="90" spans="3:7" x14ac:dyDescent="0.2">
      <c r="C90" s="13"/>
      <c r="G90" s="14"/>
    </row>
    <row r="91" spans="3:7" x14ac:dyDescent="0.2">
      <c r="C91" s="13"/>
      <c r="G91" s="14"/>
    </row>
    <row r="92" spans="3:7" x14ac:dyDescent="0.2">
      <c r="C92" s="13"/>
      <c r="G92" s="14"/>
    </row>
    <row r="93" spans="3:7" x14ac:dyDescent="0.2">
      <c r="C93" s="13"/>
      <c r="G93" s="14"/>
    </row>
    <row r="94" spans="3:7" x14ac:dyDescent="0.2">
      <c r="C94" s="13"/>
      <c r="G94" s="14"/>
    </row>
    <row r="95" spans="3:7" x14ac:dyDescent="0.2">
      <c r="C95" s="13"/>
      <c r="G95" s="14"/>
    </row>
    <row r="96" spans="3:7" x14ac:dyDescent="0.2">
      <c r="C96" s="13"/>
      <c r="G96" s="14"/>
    </row>
    <row r="97" spans="3:7" x14ac:dyDescent="0.2">
      <c r="C97" s="13"/>
      <c r="G97" s="14"/>
    </row>
    <row r="98" spans="3:7" x14ac:dyDescent="0.2">
      <c r="C98" s="13"/>
      <c r="G98" s="14"/>
    </row>
    <row r="99" spans="3:7" x14ac:dyDescent="0.2">
      <c r="C99" s="13"/>
      <c r="G99" s="14"/>
    </row>
    <row r="100" spans="3:7" x14ac:dyDescent="0.2">
      <c r="C100" s="13"/>
      <c r="G100" s="14"/>
    </row>
    <row r="101" spans="3:7" x14ac:dyDescent="0.2">
      <c r="C101" s="13"/>
      <c r="G101" s="14"/>
    </row>
    <row r="102" spans="3:7" x14ac:dyDescent="0.2">
      <c r="C102" s="13"/>
      <c r="G102" s="14"/>
    </row>
    <row r="103" spans="3:7" x14ac:dyDescent="0.2">
      <c r="C103" s="13"/>
      <c r="G103" s="14"/>
    </row>
    <row r="104" spans="3:7" x14ac:dyDescent="0.2">
      <c r="C104" s="13"/>
      <c r="G104" s="14"/>
    </row>
    <row r="105" spans="3:7" x14ac:dyDescent="0.2">
      <c r="C105" s="13"/>
      <c r="G105" s="14"/>
    </row>
    <row r="106" spans="3:7" x14ac:dyDescent="0.2">
      <c r="C106" s="13"/>
      <c r="G106" s="14"/>
    </row>
    <row r="107" spans="3:7" x14ac:dyDescent="0.2">
      <c r="C107" s="13"/>
      <c r="G107" s="14"/>
    </row>
    <row r="108" spans="3:7" x14ac:dyDescent="0.2">
      <c r="C108" s="13"/>
      <c r="G108" s="14"/>
    </row>
    <row r="109" spans="3:7" x14ac:dyDescent="0.2">
      <c r="C109" s="13"/>
      <c r="G109" s="14"/>
    </row>
    <row r="110" spans="3:7" x14ac:dyDescent="0.2">
      <c r="C110" s="13"/>
      <c r="G110" s="14"/>
    </row>
    <row r="111" spans="3:7" x14ac:dyDescent="0.2">
      <c r="C111" s="13"/>
      <c r="G111" s="14"/>
    </row>
    <row r="112" spans="3:7" x14ac:dyDescent="0.2">
      <c r="C112" s="13"/>
      <c r="G112" s="14"/>
    </row>
    <row r="113" spans="3:7" x14ac:dyDescent="0.2">
      <c r="C113" s="13"/>
      <c r="G113" s="14"/>
    </row>
    <row r="114" spans="3:7" x14ac:dyDescent="0.2">
      <c r="C114" s="13"/>
      <c r="G114" s="14"/>
    </row>
    <row r="115" spans="3:7" x14ac:dyDescent="0.2">
      <c r="C115" s="13"/>
      <c r="G115" s="14"/>
    </row>
    <row r="116" spans="3:7" x14ac:dyDescent="0.2">
      <c r="C116" s="13"/>
      <c r="G116" s="14"/>
    </row>
    <row r="117" spans="3:7" x14ac:dyDescent="0.2">
      <c r="C117" s="13"/>
      <c r="G117" s="14"/>
    </row>
    <row r="118" spans="3:7" x14ac:dyDescent="0.2">
      <c r="C118" s="13"/>
      <c r="G118" s="14"/>
    </row>
    <row r="119" spans="3:7" x14ac:dyDescent="0.2">
      <c r="C119" s="13"/>
      <c r="G119" s="14"/>
    </row>
    <row r="120" spans="3:7" x14ac:dyDescent="0.2">
      <c r="C120" s="13"/>
      <c r="G120" s="14"/>
    </row>
    <row r="121" spans="3:7" x14ac:dyDescent="0.2">
      <c r="C121" s="13"/>
      <c r="G121" s="14"/>
    </row>
    <row r="122" spans="3:7" x14ac:dyDescent="0.2">
      <c r="C122" s="13"/>
      <c r="G122" s="14"/>
    </row>
    <row r="123" spans="3:7" x14ac:dyDescent="0.2">
      <c r="C123" s="13"/>
      <c r="G123" s="14"/>
    </row>
    <row r="124" spans="3:7" x14ac:dyDescent="0.2">
      <c r="C124" s="13"/>
      <c r="G124" s="14"/>
    </row>
    <row r="125" spans="3:7" x14ac:dyDescent="0.2">
      <c r="C125" s="13"/>
      <c r="G125" s="14"/>
    </row>
    <row r="126" spans="3:7" x14ac:dyDescent="0.2">
      <c r="C126" s="13"/>
      <c r="G126" s="14"/>
    </row>
    <row r="127" spans="3:7" x14ac:dyDescent="0.2">
      <c r="C127" s="13"/>
      <c r="G127" s="14"/>
    </row>
    <row r="128" spans="3:7" x14ac:dyDescent="0.2">
      <c r="C128" s="13"/>
      <c r="G128" s="14"/>
    </row>
    <row r="129" spans="3:7" x14ac:dyDescent="0.2">
      <c r="C129" s="13"/>
      <c r="G129" s="14"/>
    </row>
    <row r="130" spans="3:7" x14ac:dyDescent="0.2">
      <c r="C130" s="13"/>
      <c r="G130" s="14"/>
    </row>
    <row r="131" spans="3:7" x14ac:dyDescent="0.2">
      <c r="C131" s="13"/>
      <c r="G131" s="14"/>
    </row>
    <row r="132" spans="3:7" x14ac:dyDescent="0.2">
      <c r="C132" s="13"/>
      <c r="G132" s="14"/>
    </row>
    <row r="133" spans="3:7" x14ac:dyDescent="0.2">
      <c r="C133" s="13"/>
      <c r="G133" s="14"/>
    </row>
    <row r="134" spans="3:7" x14ac:dyDescent="0.2">
      <c r="C134" s="13"/>
      <c r="G134" s="14"/>
    </row>
    <row r="135" spans="3:7" x14ac:dyDescent="0.2">
      <c r="C135" s="13"/>
      <c r="G135" s="14"/>
    </row>
    <row r="136" spans="3:7" x14ac:dyDescent="0.2">
      <c r="C136" s="13"/>
      <c r="G136" s="14"/>
    </row>
    <row r="137" spans="3:7" x14ac:dyDescent="0.2">
      <c r="C137" s="13"/>
      <c r="G137" s="14"/>
    </row>
    <row r="138" spans="3:7" x14ac:dyDescent="0.2">
      <c r="C138" s="13"/>
      <c r="G138" s="14"/>
    </row>
    <row r="139" spans="3:7" x14ac:dyDescent="0.2">
      <c r="C139" s="13"/>
      <c r="G139" s="14"/>
    </row>
    <row r="140" spans="3:7" x14ac:dyDescent="0.2">
      <c r="C140" s="13"/>
      <c r="G140" s="14"/>
    </row>
    <row r="141" spans="3:7" x14ac:dyDescent="0.2">
      <c r="C141" s="13"/>
      <c r="G141" s="14"/>
    </row>
    <row r="142" spans="3:7" x14ac:dyDescent="0.2">
      <c r="C142" s="13"/>
      <c r="G142" s="14"/>
    </row>
    <row r="143" spans="3:7" x14ac:dyDescent="0.2">
      <c r="C143" s="13"/>
      <c r="G143" s="14"/>
    </row>
    <row r="144" spans="3:7" x14ac:dyDescent="0.2">
      <c r="C144" s="13"/>
      <c r="G144" s="14"/>
    </row>
    <row r="145" spans="3:7" x14ac:dyDescent="0.2">
      <c r="C145" s="13"/>
      <c r="G145" s="14"/>
    </row>
    <row r="146" spans="3:7" x14ac:dyDescent="0.2">
      <c r="C146" s="13"/>
      <c r="G146" s="14"/>
    </row>
    <row r="147" spans="3:7" x14ac:dyDescent="0.2">
      <c r="C147" s="13"/>
      <c r="G147" s="14"/>
    </row>
    <row r="148" spans="3:7" x14ac:dyDescent="0.2">
      <c r="C148" s="13"/>
      <c r="G148" s="14"/>
    </row>
    <row r="149" spans="3:7" x14ac:dyDescent="0.2">
      <c r="C149" s="13"/>
      <c r="G149" s="14"/>
    </row>
    <row r="150" spans="3:7" x14ac:dyDescent="0.2">
      <c r="C150" s="13"/>
      <c r="G150" s="14"/>
    </row>
    <row r="151" spans="3:7" x14ac:dyDescent="0.2">
      <c r="C151" s="13"/>
      <c r="G151" s="14"/>
    </row>
    <row r="152" spans="3:7" x14ac:dyDescent="0.2">
      <c r="C152" s="13"/>
      <c r="G152" s="14"/>
    </row>
    <row r="153" spans="3:7" x14ac:dyDescent="0.2">
      <c r="C153" s="13"/>
      <c r="G153" s="14"/>
    </row>
    <row r="154" spans="3:7" x14ac:dyDescent="0.2">
      <c r="C154" s="13"/>
      <c r="G154" s="14"/>
    </row>
    <row r="155" spans="3:7" x14ac:dyDescent="0.2">
      <c r="C155" s="13"/>
      <c r="G155" s="14"/>
    </row>
    <row r="156" spans="3:7" x14ac:dyDescent="0.2">
      <c r="C156" s="13"/>
      <c r="G156" s="14"/>
    </row>
    <row r="157" spans="3:7" x14ac:dyDescent="0.2">
      <c r="C157" s="13"/>
      <c r="G157" s="14"/>
    </row>
    <row r="158" spans="3:7" x14ac:dyDescent="0.2">
      <c r="C158" s="13"/>
      <c r="G158" s="14"/>
    </row>
    <row r="159" spans="3:7" x14ac:dyDescent="0.2">
      <c r="C159" s="13"/>
      <c r="G159" s="14"/>
    </row>
    <row r="160" spans="3:7" x14ac:dyDescent="0.2">
      <c r="C160" s="13"/>
      <c r="G160" s="14"/>
    </row>
    <row r="161" spans="3:7" x14ac:dyDescent="0.2">
      <c r="C161" s="13"/>
      <c r="G161" s="14"/>
    </row>
    <row r="162" spans="3:7" x14ac:dyDescent="0.2">
      <c r="C162" s="13"/>
      <c r="G162" s="14"/>
    </row>
    <row r="163" spans="3:7" x14ac:dyDescent="0.2">
      <c r="C163" s="13"/>
      <c r="G163" s="14"/>
    </row>
    <row r="164" spans="3:7" x14ac:dyDescent="0.2">
      <c r="C164" s="13"/>
      <c r="G164" s="14"/>
    </row>
    <row r="165" spans="3:7" x14ac:dyDescent="0.2">
      <c r="C165" s="13"/>
      <c r="G165" s="14"/>
    </row>
    <row r="166" spans="3:7" x14ac:dyDescent="0.2">
      <c r="C166" s="13"/>
      <c r="G166" s="14"/>
    </row>
    <row r="167" spans="3:7" x14ac:dyDescent="0.2">
      <c r="C167" s="13"/>
      <c r="G167" s="14"/>
    </row>
    <row r="168" spans="3:7" x14ac:dyDescent="0.2">
      <c r="C168" s="13"/>
      <c r="G168" s="14"/>
    </row>
    <row r="169" spans="3:7" x14ac:dyDescent="0.2">
      <c r="C169" s="13"/>
      <c r="G169" s="14"/>
    </row>
    <row r="170" spans="3:7" x14ac:dyDescent="0.2">
      <c r="C170" s="13"/>
      <c r="G170" s="14"/>
    </row>
    <row r="171" spans="3:7" x14ac:dyDescent="0.2">
      <c r="C171" s="13"/>
      <c r="G171" s="14"/>
    </row>
    <row r="172" spans="3:7" x14ac:dyDescent="0.2">
      <c r="C172" s="13"/>
      <c r="G172" s="14"/>
    </row>
    <row r="173" spans="3:7" x14ac:dyDescent="0.2">
      <c r="C173" s="13"/>
      <c r="G173" s="14"/>
    </row>
    <row r="174" spans="3:7" x14ac:dyDescent="0.2">
      <c r="C174" s="13"/>
      <c r="G174" s="14"/>
    </row>
    <row r="175" spans="3:7" x14ac:dyDescent="0.2">
      <c r="C175" s="13"/>
      <c r="G175" s="14"/>
    </row>
    <row r="176" spans="3:7" x14ac:dyDescent="0.2">
      <c r="C176" s="13"/>
      <c r="G176" s="14"/>
    </row>
    <row r="177" spans="3:7" x14ac:dyDescent="0.2">
      <c r="C177" s="13"/>
      <c r="G177" s="14"/>
    </row>
    <row r="178" spans="3:7" x14ac:dyDescent="0.2">
      <c r="C178" s="13"/>
      <c r="G178" s="14"/>
    </row>
    <row r="179" spans="3:7" x14ac:dyDescent="0.2">
      <c r="C179" s="13"/>
      <c r="G179" s="14"/>
    </row>
    <row r="180" spans="3:7" x14ac:dyDescent="0.2">
      <c r="C180" s="13"/>
      <c r="G180" s="14"/>
    </row>
    <row r="181" spans="3:7" x14ac:dyDescent="0.2">
      <c r="C181" s="13"/>
      <c r="G181" s="14"/>
    </row>
    <row r="182" spans="3:7" x14ac:dyDescent="0.2">
      <c r="C182" s="13"/>
      <c r="G182" s="14"/>
    </row>
    <row r="183" spans="3:7" x14ac:dyDescent="0.2">
      <c r="C183" s="13"/>
      <c r="G183" s="14"/>
    </row>
    <row r="184" spans="3:7" x14ac:dyDescent="0.2">
      <c r="C184" s="13"/>
      <c r="G184" s="14"/>
    </row>
    <row r="185" spans="3:7" x14ac:dyDescent="0.2">
      <c r="C185" s="13"/>
      <c r="G185" s="14"/>
    </row>
    <row r="186" spans="3:7" x14ac:dyDescent="0.2">
      <c r="C186" s="13"/>
      <c r="G186" s="14"/>
    </row>
    <row r="187" spans="3:7" x14ac:dyDescent="0.2">
      <c r="C187" s="13"/>
      <c r="G187" s="14"/>
    </row>
    <row r="188" spans="3:7" x14ac:dyDescent="0.2">
      <c r="C188" s="13"/>
      <c r="G188" s="14"/>
    </row>
    <row r="189" spans="3:7" x14ac:dyDescent="0.2">
      <c r="C189" s="13"/>
      <c r="G189" s="14"/>
    </row>
    <row r="190" spans="3:7" x14ac:dyDescent="0.2">
      <c r="C190" s="13"/>
      <c r="G190" s="14"/>
    </row>
    <row r="191" spans="3:7" x14ac:dyDescent="0.2">
      <c r="C191" s="13"/>
      <c r="G191" s="14"/>
    </row>
    <row r="192" spans="3:7" x14ac:dyDescent="0.2">
      <c r="C192" s="13"/>
      <c r="G192" s="14"/>
    </row>
    <row r="193" spans="3:7" x14ac:dyDescent="0.2">
      <c r="C193" s="13"/>
      <c r="G193" s="14"/>
    </row>
    <row r="194" spans="3:7" x14ac:dyDescent="0.2">
      <c r="C194" s="13"/>
      <c r="G194" s="14"/>
    </row>
    <row r="195" spans="3:7" x14ac:dyDescent="0.2">
      <c r="C195" s="13"/>
      <c r="G195" s="14"/>
    </row>
    <row r="196" spans="3:7" x14ac:dyDescent="0.2">
      <c r="C196" s="13"/>
      <c r="G196" s="14"/>
    </row>
    <row r="197" spans="3:7" x14ac:dyDescent="0.2">
      <c r="C197" s="13"/>
      <c r="G197" s="14"/>
    </row>
    <row r="198" spans="3:7" x14ac:dyDescent="0.2">
      <c r="C198" s="13"/>
      <c r="G198" s="14"/>
    </row>
    <row r="199" spans="3:7" x14ac:dyDescent="0.2">
      <c r="C199" s="13"/>
      <c r="G199" s="14"/>
    </row>
    <row r="200" spans="3:7" x14ac:dyDescent="0.2">
      <c r="C200" s="13"/>
      <c r="G200" s="14"/>
    </row>
    <row r="201" spans="3:7" x14ac:dyDescent="0.2">
      <c r="C201" s="13"/>
      <c r="G201" s="14"/>
    </row>
    <row r="202" spans="3:7" x14ac:dyDescent="0.2">
      <c r="C202" s="13"/>
      <c r="G202" s="14"/>
    </row>
    <row r="203" spans="3:7" x14ac:dyDescent="0.2">
      <c r="C203" s="13"/>
      <c r="G203" s="14"/>
    </row>
    <row r="204" spans="3:7" x14ac:dyDescent="0.2">
      <c r="C204" s="13"/>
      <c r="G204" s="14"/>
    </row>
    <row r="205" spans="3:7" x14ac:dyDescent="0.2">
      <c r="C205" s="13"/>
      <c r="G205" s="14"/>
    </row>
    <row r="206" spans="3:7" x14ac:dyDescent="0.2">
      <c r="C206" s="13"/>
      <c r="G206" s="14"/>
    </row>
    <row r="207" spans="3:7" x14ac:dyDescent="0.2">
      <c r="C207" s="13"/>
      <c r="G207" s="14"/>
    </row>
    <row r="208" spans="3:7" x14ac:dyDescent="0.2">
      <c r="C208" s="13"/>
      <c r="G208" s="14"/>
    </row>
    <row r="209" spans="3:7" x14ac:dyDescent="0.2">
      <c r="C209" s="13"/>
      <c r="G209" s="14"/>
    </row>
    <row r="210" spans="3:7" x14ac:dyDescent="0.2">
      <c r="C210" s="13"/>
      <c r="G210" s="14"/>
    </row>
    <row r="211" spans="3:7" x14ac:dyDescent="0.2">
      <c r="C211" s="13"/>
      <c r="G211" s="14"/>
    </row>
    <row r="212" spans="3:7" x14ac:dyDescent="0.2">
      <c r="C212" s="13"/>
      <c r="G212" s="14"/>
    </row>
    <row r="213" spans="3:7" x14ac:dyDescent="0.2">
      <c r="C213" s="13"/>
      <c r="G213" s="14"/>
    </row>
    <row r="214" spans="3:7" x14ac:dyDescent="0.2">
      <c r="C214" s="13"/>
      <c r="G214" s="14"/>
    </row>
    <row r="215" spans="3:7" x14ac:dyDescent="0.2">
      <c r="C215" s="13"/>
      <c r="G215" s="14"/>
    </row>
    <row r="216" spans="3:7" x14ac:dyDescent="0.2">
      <c r="C216" s="13"/>
      <c r="G216" s="14"/>
    </row>
    <row r="217" spans="3:7" x14ac:dyDescent="0.2">
      <c r="C217" s="13"/>
      <c r="G217" s="14"/>
    </row>
    <row r="218" spans="3:7" x14ac:dyDescent="0.2">
      <c r="C218" s="13"/>
      <c r="G218" s="14"/>
    </row>
    <row r="219" spans="3:7" x14ac:dyDescent="0.2">
      <c r="C219" s="13"/>
      <c r="G219" s="14"/>
    </row>
    <row r="220" spans="3:7" x14ac:dyDescent="0.2">
      <c r="C220" s="13"/>
      <c r="G220" s="14"/>
    </row>
    <row r="221" spans="3:7" x14ac:dyDescent="0.2">
      <c r="C221" s="13"/>
      <c r="G221" s="14"/>
    </row>
    <row r="222" spans="3:7" x14ac:dyDescent="0.2">
      <c r="C222" s="13"/>
      <c r="G222" s="14"/>
    </row>
    <row r="223" spans="3:7" x14ac:dyDescent="0.2">
      <c r="C223" s="13"/>
      <c r="G223" s="14"/>
    </row>
    <row r="224" spans="3:7" x14ac:dyDescent="0.2">
      <c r="C224" s="13"/>
      <c r="G224" s="14"/>
    </row>
    <row r="225" spans="3:7" x14ac:dyDescent="0.2">
      <c r="C225" s="13"/>
      <c r="G225" s="14"/>
    </row>
    <row r="226" spans="3:7" x14ac:dyDescent="0.2">
      <c r="C226" s="13"/>
      <c r="G226" s="14"/>
    </row>
    <row r="227" spans="3:7" x14ac:dyDescent="0.2">
      <c r="C227" s="13"/>
      <c r="G227" s="14"/>
    </row>
    <row r="228" spans="3:7" x14ac:dyDescent="0.2">
      <c r="C228" s="13"/>
      <c r="G228" s="14"/>
    </row>
    <row r="229" spans="3:7" x14ac:dyDescent="0.2">
      <c r="C229" s="13"/>
      <c r="G229" s="14"/>
    </row>
    <row r="230" spans="3:7" x14ac:dyDescent="0.2">
      <c r="C230" s="13"/>
      <c r="G230" s="14"/>
    </row>
    <row r="231" spans="3:7" x14ac:dyDescent="0.2">
      <c r="C231" s="13"/>
      <c r="G231" s="14"/>
    </row>
    <row r="232" spans="3:7" x14ac:dyDescent="0.2">
      <c r="C232" s="13"/>
      <c r="G232" s="14"/>
    </row>
    <row r="233" spans="3:7" x14ac:dyDescent="0.2">
      <c r="C233" s="13"/>
      <c r="G233" s="14"/>
    </row>
    <row r="234" spans="3:7" x14ac:dyDescent="0.2">
      <c r="C234" s="13"/>
      <c r="G234" s="14"/>
    </row>
    <row r="235" spans="3:7" x14ac:dyDescent="0.2">
      <c r="C235" s="13"/>
      <c r="G235" s="14"/>
    </row>
    <row r="236" spans="3:7" x14ac:dyDescent="0.2">
      <c r="C236" s="13"/>
      <c r="G236" s="14"/>
    </row>
    <row r="237" spans="3:7" x14ac:dyDescent="0.2">
      <c r="C237" s="13"/>
      <c r="G237" s="14"/>
    </row>
    <row r="238" spans="3:7" x14ac:dyDescent="0.2">
      <c r="C238" s="13"/>
      <c r="G238" s="14"/>
    </row>
    <row r="239" spans="3:7" x14ac:dyDescent="0.2">
      <c r="C239" s="13"/>
      <c r="G239" s="14"/>
    </row>
    <row r="240" spans="3:7" x14ac:dyDescent="0.2">
      <c r="C240" s="13"/>
      <c r="G240" s="14"/>
    </row>
    <row r="241" spans="3:7" x14ac:dyDescent="0.2">
      <c r="C241" s="13"/>
      <c r="G241" s="14"/>
    </row>
    <row r="242" spans="3:7" x14ac:dyDescent="0.2">
      <c r="C242" s="13"/>
      <c r="G242" s="14"/>
    </row>
    <row r="243" spans="3:7" x14ac:dyDescent="0.2">
      <c r="C243" s="13"/>
      <c r="G243" s="14"/>
    </row>
    <row r="244" spans="3:7" x14ac:dyDescent="0.2">
      <c r="C244" s="13"/>
      <c r="G244" s="14"/>
    </row>
    <row r="245" spans="3:7" x14ac:dyDescent="0.2">
      <c r="C245" s="13"/>
      <c r="G245" s="14"/>
    </row>
    <row r="246" spans="3:7" x14ac:dyDescent="0.2">
      <c r="C246" s="13"/>
      <c r="G246" s="14"/>
    </row>
    <row r="247" spans="3:7" x14ac:dyDescent="0.2">
      <c r="C247" s="13"/>
      <c r="G247" s="14"/>
    </row>
    <row r="248" spans="3:7" x14ac:dyDescent="0.2">
      <c r="C248" s="13"/>
      <c r="G248" s="14"/>
    </row>
    <row r="249" spans="3:7" x14ac:dyDescent="0.2">
      <c r="C249" s="13"/>
      <c r="G249" s="14"/>
    </row>
    <row r="250" spans="3:7" x14ac:dyDescent="0.2">
      <c r="C250" s="13"/>
      <c r="G250" s="14"/>
    </row>
    <row r="251" spans="3:7" x14ac:dyDescent="0.2">
      <c r="C251" s="13"/>
      <c r="G251" s="14"/>
    </row>
    <row r="252" spans="3:7" x14ac:dyDescent="0.2">
      <c r="C252" s="13"/>
      <c r="G252" s="14"/>
    </row>
    <row r="253" spans="3:7" x14ac:dyDescent="0.2">
      <c r="C253" s="13"/>
      <c r="G253" s="14"/>
    </row>
    <row r="254" spans="3:7" x14ac:dyDescent="0.2">
      <c r="C254" s="13"/>
      <c r="G254" s="14"/>
    </row>
    <row r="255" spans="3:7" x14ac:dyDescent="0.2">
      <c r="C255" s="13"/>
      <c r="G255" s="14"/>
    </row>
    <row r="256" spans="3:7" x14ac:dyDescent="0.2">
      <c r="C256" s="13"/>
      <c r="G256" s="14"/>
    </row>
    <row r="257" spans="3:7" x14ac:dyDescent="0.2">
      <c r="C257" s="13"/>
      <c r="G257" s="14"/>
    </row>
    <row r="258" spans="3:7" x14ac:dyDescent="0.2">
      <c r="C258" s="13"/>
      <c r="G258" s="14"/>
    </row>
    <row r="259" spans="3:7" x14ac:dyDescent="0.2">
      <c r="C259" s="13"/>
      <c r="G259" s="14"/>
    </row>
    <row r="260" spans="3:7" x14ac:dyDescent="0.2">
      <c r="C260" s="13"/>
      <c r="G260" s="14"/>
    </row>
    <row r="261" spans="3:7" x14ac:dyDescent="0.2">
      <c r="C261" s="13"/>
      <c r="G261" s="14"/>
    </row>
    <row r="262" spans="3:7" x14ac:dyDescent="0.2">
      <c r="C262" s="13"/>
      <c r="G262" s="14"/>
    </row>
    <row r="263" spans="3:7" x14ac:dyDescent="0.2">
      <c r="C263" s="13"/>
      <c r="G263" s="14"/>
    </row>
    <row r="264" spans="3:7" x14ac:dyDescent="0.2">
      <c r="C264" s="13"/>
      <c r="G264" s="14"/>
    </row>
    <row r="265" spans="3:7" x14ac:dyDescent="0.2">
      <c r="C265" s="13"/>
      <c r="G265" s="14"/>
    </row>
    <row r="266" spans="3:7" x14ac:dyDescent="0.2">
      <c r="C266" s="13"/>
      <c r="G266" s="14"/>
    </row>
    <row r="267" spans="3:7" x14ac:dyDescent="0.2">
      <c r="C267" s="13"/>
      <c r="G267" s="14"/>
    </row>
    <row r="268" spans="3:7" x14ac:dyDescent="0.2">
      <c r="C268" s="13"/>
      <c r="G268" s="14"/>
    </row>
    <row r="269" spans="3:7" x14ac:dyDescent="0.2">
      <c r="C269" s="13"/>
      <c r="G269" s="14"/>
    </row>
    <row r="270" spans="3:7" x14ac:dyDescent="0.2">
      <c r="C270" s="13"/>
      <c r="G270" s="14"/>
    </row>
    <row r="271" spans="3:7" x14ac:dyDescent="0.2">
      <c r="C271" s="13"/>
      <c r="G271" s="14"/>
    </row>
    <row r="272" spans="3:7" x14ac:dyDescent="0.2">
      <c r="C272" s="13"/>
      <c r="G272" s="14"/>
    </row>
    <row r="273" spans="3:7" x14ac:dyDescent="0.2">
      <c r="C273" s="13"/>
      <c r="G273" s="14"/>
    </row>
    <row r="274" spans="3:7" x14ac:dyDescent="0.2">
      <c r="C274" s="13"/>
      <c r="G274" s="14"/>
    </row>
    <row r="275" spans="3:7" x14ac:dyDescent="0.2">
      <c r="C275" s="13"/>
      <c r="G275" s="14"/>
    </row>
    <row r="276" spans="3:7" x14ac:dyDescent="0.2">
      <c r="C276" s="13"/>
      <c r="G276" s="14"/>
    </row>
    <row r="277" spans="3:7" x14ac:dyDescent="0.2">
      <c r="C277" s="13"/>
      <c r="G277" s="14"/>
    </row>
    <row r="278" spans="3:7" x14ac:dyDescent="0.2">
      <c r="C278" s="13"/>
      <c r="G278" s="14"/>
    </row>
    <row r="279" spans="3:7" x14ac:dyDescent="0.2">
      <c r="C279" s="13"/>
      <c r="G279" s="14"/>
    </row>
    <row r="280" spans="3:7" x14ac:dyDescent="0.2">
      <c r="C280" s="13"/>
      <c r="G280" s="14"/>
    </row>
    <row r="281" spans="3:7" x14ac:dyDescent="0.2">
      <c r="C281" s="13"/>
      <c r="G281" s="14"/>
    </row>
    <row r="282" spans="3:7" x14ac:dyDescent="0.2">
      <c r="C282" s="13"/>
      <c r="G282" s="14"/>
    </row>
    <row r="283" spans="3:7" x14ac:dyDescent="0.2">
      <c r="C283" s="13"/>
      <c r="G283" s="14"/>
    </row>
    <row r="284" spans="3:7" x14ac:dyDescent="0.2">
      <c r="C284" s="13"/>
      <c r="G284" s="14"/>
    </row>
    <row r="285" spans="3:7" x14ac:dyDescent="0.2">
      <c r="C285" s="13"/>
      <c r="G285" s="14"/>
    </row>
    <row r="286" spans="3:7" x14ac:dyDescent="0.2">
      <c r="C286" s="13"/>
      <c r="G286" s="14"/>
    </row>
    <row r="287" spans="3:7" x14ac:dyDescent="0.2">
      <c r="C287" s="13"/>
      <c r="G287" s="14"/>
    </row>
    <row r="288" spans="3:7" x14ac:dyDescent="0.2">
      <c r="C288" s="13"/>
      <c r="G288" s="14"/>
    </row>
    <row r="289" spans="3:7" x14ac:dyDescent="0.2">
      <c r="C289" s="13"/>
      <c r="G289" s="14"/>
    </row>
    <row r="290" spans="3:7" x14ac:dyDescent="0.2">
      <c r="C290" s="13"/>
      <c r="G290" s="14"/>
    </row>
    <row r="291" spans="3:7" x14ac:dyDescent="0.2">
      <c r="C291" s="13"/>
      <c r="G291" s="14"/>
    </row>
    <row r="292" spans="3:7" x14ac:dyDescent="0.2">
      <c r="C292" s="13"/>
      <c r="G292" s="14"/>
    </row>
    <row r="293" spans="3:7" x14ac:dyDescent="0.2">
      <c r="C293" s="13"/>
      <c r="G293" s="14"/>
    </row>
    <row r="294" spans="3:7" x14ac:dyDescent="0.2">
      <c r="C294" s="13"/>
      <c r="G294" s="14"/>
    </row>
    <row r="295" spans="3:7" x14ac:dyDescent="0.2">
      <c r="C295" s="13"/>
      <c r="G295" s="14"/>
    </row>
    <row r="296" spans="3:7" x14ac:dyDescent="0.2">
      <c r="C296" s="13"/>
      <c r="G296" s="14"/>
    </row>
    <row r="297" spans="3:7" x14ac:dyDescent="0.2">
      <c r="C297" s="13"/>
      <c r="G297" s="14"/>
    </row>
    <row r="298" spans="3:7" x14ac:dyDescent="0.2">
      <c r="C298" s="13"/>
      <c r="G298" s="14"/>
    </row>
    <row r="299" spans="3:7" x14ac:dyDescent="0.2">
      <c r="C299" s="13"/>
      <c r="G299" s="14"/>
    </row>
    <row r="300" spans="3:7" x14ac:dyDescent="0.2">
      <c r="C300" s="13"/>
      <c r="G300" s="14"/>
    </row>
    <row r="301" spans="3:7" x14ac:dyDescent="0.2">
      <c r="C301" s="13"/>
      <c r="G301" s="14"/>
    </row>
    <row r="302" spans="3:7" x14ac:dyDescent="0.2">
      <c r="C302" s="13"/>
      <c r="G302" s="14"/>
    </row>
    <row r="303" spans="3:7" x14ac:dyDescent="0.2">
      <c r="C303" s="13"/>
      <c r="G303" s="14"/>
    </row>
    <row r="304" spans="3:7" x14ac:dyDescent="0.2">
      <c r="C304" s="13"/>
      <c r="G304" s="14"/>
    </row>
    <row r="305" spans="3:7" x14ac:dyDescent="0.2">
      <c r="C305" s="13"/>
      <c r="G305" s="14"/>
    </row>
    <row r="306" spans="3:7" x14ac:dyDescent="0.2">
      <c r="C306" s="13"/>
      <c r="G306" s="14"/>
    </row>
    <row r="307" spans="3:7" x14ac:dyDescent="0.2">
      <c r="C307" s="13"/>
      <c r="G307" s="14"/>
    </row>
    <row r="308" spans="3:7" x14ac:dyDescent="0.2">
      <c r="C308" s="13"/>
      <c r="G308" s="14"/>
    </row>
    <row r="309" spans="3:7" x14ac:dyDescent="0.2">
      <c r="C309" s="13"/>
      <c r="G309" s="14"/>
    </row>
    <row r="310" spans="3:7" x14ac:dyDescent="0.2">
      <c r="C310" s="13"/>
      <c r="G310" s="14"/>
    </row>
    <row r="311" spans="3:7" x14ac:dyDescent="0.2">
      <c r="C311" s="13"/>
      <c r="G311" s="14"/>
    </row>
    <row r="312" spans="3:7" x14ac:dyDescent="0.2">
      <c r="C312" s="13"/>
      <c r="G312" s="14"/>
    </row>
    <row r="313" spans="3:7" x14ac:dyDescent="0.2">
      <c r="C313" s="13"/>
      <c r="G313" s="14"/>
    </row>
    <row r="314" spans="3:7" x14ac:dyDescent="0.2">
      <c r="C314" s="13"/>
      <c r="G314" s="14"/>
    </row>
    <row r="315" spans="3:7" x14ac:dyDescent="0.2">
      <c r="C315" s="13"/>
      <c r="G315" s="14"/>
    </row>
    <row r="316" spans="3:7" x14ac:dyDescent="0.2">
      <c r="C316" s="13"/>
      <c r="G316" s="14"/>
    </row>
    <row r="317" spans="3:7" x14ac:dyDescent="0.2">
      <c r="C317" s="13"/>
      <c r="G317" s="14"/>
    </row>
    <row r="318" spans="3:7" x14ac:dyDescent="0.2">
      <c r="C318" s="13"/>
      <c r="G318" s="14"/>
    </row>
    <row r="319" spans="3:7" x14ac:dyDescent="0.2">
      <c r="C319" s="13"/>
      <c r="G319" s="14"/>
    </row>
    <row r="320" spans="3:7" x14ac:dyDescent="0.2">
      <c r="C320" s="13"/>
      <c r="G320" s="14"/>
    </row>
    <row r="321" spans="3:7" x14ac:dyDescent="0.2">
      <c r="C321" s="13"/>
      <c r="G321" s="14"/>
    </row>
    <row r="322" spans="3:7" x14ac:dyDescent="0.2">
      <c r="C322" s="13"/>
      <c r="G322" s="14"/>
    </row>
    <row r="323" spans="3:7" x14ac:dyDescent="0.2">
      <c r="C323" s="13"/>
      <c r="G323" s="14"/>
    </row>
    <row r="324" spans="3:7" x14ac:dyDescent="0.2">
      <c r="C324" s="13"/>
      <c r="G324" s="14"/>
    </row>
    <row r="325" spans="3:7" x14ac:dyDescent="0.2">
      <c r="C325" s="13"/>
      <c r="G325" s="14"/>
    </row>
    <row r="326" spans="3:7" x14ac:dyDescent="0.2">
      <c r="C326" s="13"/>
      <c r="G326" s="14"/>
    </row>
    <row r="327" spans="3:7" x14ac:dyDescent="0.2">
      <c r="C327" s="13"/>
      <c r="G327" s="14"/>
    </row>
    <row r="328" spans="3:7" x14ac:dyDescent="0.2">
      <c r="C328" s="13"/>
      <c r="G328" s="14"/>
    </row>
    <row r="329" spans="3:7" x14ac:dyDescent="0.2">
      <c r="C329" s="13"/>
      <c r="G329" s="14"/>
    </row>
    <row r="330" spans="3:7" x14ac:dyDescent="0.2">
      <c r="C330" s="13"/>
      <c r="G330" s="14"/>
    </row>
    <row r="331" spans="3:7" x14ac:dyDescent="0.2">
      <c r="C331" s="13"/>
      <c r="G331" s="14"/>
    </row>
    <row r="332" spans="3:7" x14ac:dyDescent="0.2">
      <c r="C332" s="13"/>
      <c r="G332" s="14"/>
    </row>
    <row r="333" spans="3:7" x14ac:dyDescent="0.2">
      <c r="C333" s="13"/>
      <c r="G333" s="14"/>
    </row>
    <row r="334" spans="3:7" x14ac:dyDescent="0.2">
      <c r="C334" s="13"/>
      <c r="G334" s="14"/>
    </row>
    <row r="335" spans="3:7" x14ac:dyDescent="0.2">
      <c r="C335" s="13"/>
      <c r="G335" s="14"/>
    </row>
    <row r="336" spans="3:7" x14ac:dyDescent="0.2">
      <c r="C336" s="13"/>
      <c r="G336" s="14"/>
    </row>
    <row r="337" spans="3:7" x14ac:dyDescent="0.2">
      <c r="C337" s="13"/>
      <c r="G337" s="14"/>
    </row>
    <row r="338" spans="3:7" x14ac:dyDescent="0.2">
      <c r="C338" s="13"/>
      <c r="G338" s="14"/>
    </row>
    <row r="339" spans="3:7" x14ac:dyDescent="0.2">
      <c r="C339" s="13"/>
      <c r="G339" s="14"/>
    </row>
    <row r="340" spans="3:7" x14ac:dyDescent="0.2">
      <c r="C340" s="13"/>
      <c r="G340" s="14"/>
    </row>
    <row r="341" spans="3:7" x14ac:dyDescent="0.2">
      <c r="C341" s="13"/>
      <c r="G341" s="14"/>
    </row>
    <row r="342" spans="3:7" x14ac:dyDescent="0.2">
      <c r="C342" s="13"/>
      <c r="G342" s="14"/>
    </row>
    <row r="343" spans="3:7" x14ac:dyDescent="0.2">
      <c r="C343" s="13"/>
      <c r="G343" s="14"/>
    </row>
    <row r="344" spans="3:7" x14ac:dyDescent="0.2">
      <c r="C344" s="13"/>
      <c r="G344" s="14"/>
    </row>
    <row r="345" spans="3:7" x14ac:dyDescent="0.2">
      <c r="C345" s="13"/>
      <c r="G345" s="14"/>
    </row>
    <row r="346" spans="3:7" x14ac:dyDescent="0.2">
      <c r="C346" s="13"/>
      <c r="G346" s="14"/>
    </row>
    <row r="347" spans="3:7" x14ac:dyDescent="0.2">
      <c r="C347" s="13"/>
      <c r="G347" s="14"/>
    </row>
    <row r="348" spans="3:7" x14ac:dyDescent="0.2">
      <c r="C348" s="13"/>
      <c r="G348" s="14"/>
    </row>
    <row r="349" spans="3:7" x14ac:dyDescent="0.2">
      <c r="C349" s="13"/>
      <c r="G349" s="14"/>
    </row>
    <row r="350" spans="3:7" x14ac:dyDescent="0.2">
      <c r="C350" s="13"/>
      <c r="G350" s="14"/>
    </row>
    <row r="351" spans="3:7" x14ac:dyDescent="0.2">
      <c r="C351" s="13"/>
      <c r="G351" s="14"/>
    </row>
    <row r="352" spans="3:7" x14ac:dyDescent="0.2">
      <c r="C352" s="13"/>
      <c r="G352" s="14"/>
    </row>
    <row r="353" spans="3:7" x14ac:dyDescent="0.2">
      <c r="C353" s="13"/>
      <c r="G353" s="14"/>
    </row>
    <row r="354" spans="3:7" x14ac:dyDescent="0.2">
      <c r="C354" s="13"/>
      <c r="G354" s="14"/>
    </row>
    <row r="355" spans="3:7" x14ac:dyDescent="0.2">
      <c r="C355" s="13"/>
      <c r="G355" s="14"/>
    </row>
    <row r="356" spans="3:7" x14ac:dyDescent="0.2">
      <c r="C356" s="13"/>
      <c r="G356" s="14"/>
    </row>
    <row r="357" spans="3:7" x14ac:dyDescent="0.2">
      <c r="C357" s="13"/>
      <c r="G357" s="14"/>
    </row>
    <row r="358" spans="3:7" x14ac:dyDescent="0.2">
      <c r="C358" s="13"/>
      <c r="G358" s="14"/>
    </row>
    <row r="359" spans="3:7" x14ac:dyDescent="0.2">
      <c r="C359" s="13"/>
      <c r="G359" s="14"/>
    </row>
    <row r="360" spans="3:7" x14ac:dyDescent="0.2">
      <c r="C360" s="13"/>
      <c r="G360" s="14"/>
    </row>
    <row r="361" spans="3:7" x14ac:dyDescent="0.2">
      <c r="C361" s="13"/>
      <c r="G361" s="14"/>
    </row>
    <row r="362" spans="3:7" x14ac:dyDescent="0.2">
      <c r="C362" s="13"/>
      <c r="G362" s="14"/>
    </row>
    <row r="363" spans="3:7" x14ac:dyDescent="0.2">
      <c r="C363" s="13"/>
      <c r="G363" s="14"/>
    </row>
    <row r="364" spans="3:7" x14ac:dyDescent="0.2">
      <c r="C364" s="13"/>
      <c r="G364" s="14"/>
    </row>
    <row r="365" spans="3:7" x14ac:dyDescent="0.2">
      <c r="C365" s="13"/>
      <c r="G365" s="14"/>
    </row>
    <row r="366" spans="3:7" x14ac:dyDescent="0.2">
      <c r="C366" s="13"/>
      <c r="G366" s="14"/>
    </row>
    <row r="367" spans="3:7" x14ac:dyDescent="0.2">
      <c r="C367" s="13"/>
      <c r="G367" s="14"/>
    </row>
    <row r="368" spans="3:7" x14ac:dyDescent="0.2">
      <c r="C368" s="13"/>
      <c r="G368" s="14"/>
    </row>
    <row r="369" spans="3:7" x14ac:dyDescent="0.2">
      <c r="C369" s="13"/>
      <c r="G369" s="14"/>
    </row>
    <row r="370" spans="3:7" x14ac:dyDescent="0.2">
      <c r="C370" s="13"/>
      <c r="G370" s="14"/>
    </row>
    <row r="371" spans="3:7" x14ac:dyDescent="0.2">
      <c r="C371" s="13"/>
      <c r="G371" s="14"/>
    </row>
    <row r="372" spans="3:7" x14ac:dyDescent="0.2">
      <c r="C372" s="13"/>
      <c r="G372" s="14"/>
    </row>
    <row r="373" spans="3:7" x14ac:dyDescent="0.2">
      <c r="C373" s="13"/>
      <c r="G373" s="14"/>
    </row>
    <row r="374" spans="3:7" x14ac:dyDescent="0.2">
      <c r="C374" s="13"/>
      <c r="G374" s="14"/>
    </row>
    <row r="375" spans="3:7" x14ac:dyDescent="0.2">
      <c r="C375" s="13"/>
      <c r="G375" s="14"/>
    </row>
    <row r="376" spans="3:7" x14ac:dyDescent="0.2">
      <c r="C376" s="13"/>
      <c r="G376" s="14"/>
    </row>
    <row r="377" spans="3:7" x14ac:dyDescent="0.2">
      <c r="C377" s="13"/>
      <c r="G377" s="14"/>
    </row>
    <row r="378" spans="3:7" x14ac:dyDescent="0.2">
      <c r="C378" s="13"/>
      <c r="G378" s="14"/>
    </row>
    <row r="379" spans="3:7" x14ac:dyDescent="0.2">
      <c r="C379" s="13"/>
      <c r="G379" s="14"/>
    </row>
    <row r="380" spans="3:7" x14ac:dyDescent="0.2">
      <c r="C380" s="13"/>
      <c r="G380" s="14"/>
    </row>
    <row r="381" spans="3:7" x14ac:dyDescent="0.2">
      <c r="C381" s="13"/>
      <c r="G381" s="14"/>
    </row>
    <row r="382" spans="3:7" x14ac:dyDescent="0.2">
      <c r="C382" s="13"/>
      <c r="G382" s="14"/>
    </row>
    <row r="383" spans="3:7" x14ac:dyDescent="0.2">
      <c r="C383" s="13"/>
      <c r="G383" s="14"/>
    </row>
    <row r="384" spans="3:7" x14ac:dyDescent="0.2">
      <c r="C384" s="13"/>
      <c r="G384" s="14"/>
    </row>
    <row r="385" spans="3:7" x14ac:dyDescent="0.2">
      <c r="C385" s="13"/>
      <c r="G385" s="14"/>
    </row>
    <row r="386" spans="3:7" x14ac:dyDescent="0.2">
      <c r="C386" s="13"/>
      <c r="G386" s="14"/>
    </row>
    <row r="387" spans="3:7" x14ac:dyDescent="0.2">
      <c r="C387" s="13"/>
      <c r="G387" s="14"/>
    </row>
    <row r="388" spans="3:7" x14ac:dyDescent="0.2">
      <c r="C388" s="13"/>
      <c r="G388" s="14"/>
    </row>
    <row r="389" spans="3:7" x14ac:dyDescent="0.2">
      <c r="C389" s="13"/>
      <c r="G389" s="14"/>
    </row>
    <row r="390" spans="3:7" x14ac:dyDescent="0.2">
      <c r="C390" s="13"/>
      <c r="G390" s="14"/>
    </row>
    <row r="391" spans="3:7" x14ac:dyDescent="0.2">
      <c r="C391" s="13"/>
      <c r="G391" s="14"/>
    </row>
    <row r="392" spans="3:7" x14ac:dyDescent="0.2">
      <c r="C392" s="13"/>
      <c r="G392" s="14"/>
    </row>
    <row r="393" spans="3:7" x14ac:dyDescent="0.2">
      <c r="C393" s="13"/>
      <c r="G393" s="14"/>
    </row>
    <row r="394" spans="3:7" x14ac:dyDescent="0.2">
      <c r="C394" s="13"/>
      <c r="G394" s="14"/>
    </row>
    <row r="395" spans="3:7" x14ac:dyDescent="0.2">
      <c r="C395" s="13"/>
      <c r="G395" s="14"/>
    </row>
    <row r="396" spans="3:7" x14ac:dyDescent="0.2">
      <c r="C396" s="13"/>
      <c r="G396" s="14"/>
    </row>
    <row r="397" spans="3:7" x14ac:dyDescent="0.2">
      <c r="C397" s="13"/>
      <c r="G397" s="14"/>
    </row>
    <row r="398" spans="3:7" x14ac:dyDescent="0.2">
      <c r="C398" s="13"/>
      <c r="G398" s="14"/>
    </row>
    <row r="399" spans="3:7" x14ac:dyDescent="0.2">
      <c r="C399" s="13"/>
      <c r="G399" s="14"/>
    </row>
    <row r="400" spans="3:7" x14ac:dyDescent="0.2">
      <c r="C400" s="13"/>
      <c r="G400" s="14"/>
    </row>
    <row r="401" spans="3:7" x14ac:dyDescent="0.2">
      <c r="C401" s="13"/>
      <c r="G401" s="14"/>
    </row>
    <row r="402" spans="3:7" x14ac:dyDescent="0.2">
      <c r="C402" s="13"/>
      <c r="G402" s="14"/>
    </row>
    <row r="403" spans="3:7" x14ac:dyDescent="0.2">
      <c r="C403" s="13"/>
      <c r="G403" s="14"/>
    </row>
    <row r="404" spans="3:7" x14ac:dyDescent="0.2">
      <c r="C404" s="13"/>
      <c r="G404" s="14"/>
    </row>
    <row r="405" spans="3:7" x14ac:dyDescent="0.2">
      <c r="C405" s="13"/>
      <c r="G405" s="14"/>
    </row>
    <row r="406" spans="3:7" x14ac:dyDescent="0.2">
      <c r="C406" s="13"/>
      <c r="G406" s="14"/>
    </row>
    <row r="407" spans="3:7" x14ac:dyDescent="0.2">
      <c r="C407" s="13"/>
      <c r="G407" s="14"/>
    </row>
    <row r="408" spans="3:7" x14ac:dyDescent="0.2">
      <c r="C408" s="13"/>
      <c r="G408" s="14"/>
    </row>
    <row r="409" spans="3:7" x14ac:dyDescent="0.2">
      <c r="C409" s="13"/>
      <c r="G409" s="14"/>
    </row>
    <row r="410" spans="3:7" x14ac:dyDescent="0.2">
      <c r="C410" s="13"/>
      <c r="G410" s="14"/>
    </row>
    <row r="411" spans="3:7" x14ac:dyDescent="0.2">
      <c r="C411" s="13"/>
      <c r="G411" s="14"/>
    </row>
    <row r="412" spans="3:7" x14ac:dyDescent="0.2">
      <c r="C412" s="13"/>
      <c r="G412" s="14"/>
    </row>
    <row r="413" spans="3:7" x14ac:dyDescent="0.2">
      <c r="C413" s="13"/>
      <c r="G413" s="14"/>
    </row>
    <row r="414" spans="3:7" x14ac:dyDescent="0.2">
      <c r="C414" s="13"/>
      <c r="G414" s="14"/>
    </row>
    <row r="415" spans="3:7" x14ac:dyDescent="0.2">
      <c r="C415" s="13"/>
      <c r="G415" s="14"/>
    </row>
    <row r="416" spans="3:7" x14ac:dyDescent="0.2">
      <c r="C416" s="13"/>
      <c r="G416" s="14"/>
    </row>
    <row r="417" spans="3:7" x14ac:dyDescent="0.2">
      <c r="C417" s="13"/>
      <c r="G417" s="14"/>
    </row>
    <row r="418" spans="3:7" x14ac:dyDescent="0.2">
      <c r="C418" s="13"/>
      <c r="G418" s="14"/>
    </row>
    <row r="419" spans="3:7" x14ac:dyDescent="0.2">
      <c r="C419" s="13"/>
      <c r="G419" s="14"/>
    </row>
    <row r="420" spans="3:7" x14ac:dyDescent="0.2">
      <c r="C420" s="13"/>
      <c r="G420" s="14"/>
    </row>
    <row r="421" spans="3:7" x14ac:dyDescent="0.2">
      <c r="C421" s="13"/>
      <c r="G421" s="14"/>
    </row>
    <row r="422" spans="3:7" x14ac:dyDescent="0.2">
      <c r="C422" s="13"/>
      <c r="G422" s="14"/>
    </row>
    <row r="423" spans="3:7" x14ac:dyDescent="0.2">
      <c r="C423" s="13"/>
      <c r="G423" s="14"/>
    </row>
    <row r="424" spans="3:7" x14ac:dyDescent="0.2">
      <c r="C424" s="13"/>
      <c r="G424" s="14"/>
    </row>
    <row r="425" spans="3:7" x14ac:dyDescent="0.2">
      <c r="C425" s="13"/>
      <c r="G425" s="14"/>
    </row>
    <row r="426" spans="3:7" x14ac:dyDescent="0.2">
      <c r="C426" s="13"/>
      <c r="G426" s="14"/>
    </row>
    <row r="427" spans="3:7" x14ac:dyDescent="0.2">
      <c r="C427" s="13"/>
      <c r="G427" s="14"/>
    </row>
    <row r="428" spans="3:7" x14ac:dyDescent="0.2">
      <c r="C428" s="13"/>
      <c r="G428" s="14"/>
    </row>
    <row r="429" spans="3:7" x14ac:dyDescent="0.2">
      <c r="C429" s="13"/>
      <c r="G429" s="14"/>
    </row>
    <row r="430" spans="3:7" x14ac:dyDescent="0.2">
      <c r="C430" s="13"/>
      <c r="G430" s="14"/>
    </row>
    <row r="431" spans="3:7" x14ac:dyDescent="0.2">
      <c r="C431" s="13"/>
      <c r="G431" s="14"/>
    </row>
    <row r="432" spans="3:7" x14ac:dyDescent="0.2">
      <c r="C432" s="13"/>
      <c r="G432" s="14"/>
    </row>
    <row r="433" spans="3:7" x14ac:dyDescent="0.2">
      <c r="C433" s="13"/>
      <c r="G433" s="14"/>
    </row>
    <row r="434" spans="3:7" x14ac:dyDescent="0.2">
      <c r="C434" s="13"/>
      <c r="G434" s="14"/>
    </row>
    <row r="435" spans="3:7" x14ac:dyDescent="0.2">
      <c r="C435" s="13"/>
      <c r="G435" s="14"/>
    </row>
    <row r="436" spans="3:7" x14ac:dyDescent="0.2">
      <c r="C436" s="13"/>
      <c r="G436" s="14"/>
    </row>
    <row r="437" spans="3:7" x14ac:dyDescent="0.2">
      <c r="C437" s="13"/>
      <c r="G437" s="14"/>
    </row>
    <row r="438" spans="3:7" x14ac:dyDescent="0.2">
      <c r="C438" s="13"/>
      <c r="G438" s="14"/>
    </row>
    <row r="439" spans="3:7" x14ac:dyDescent="0.2">
      <c r="C439" s="13"/>
      <c r="G439" s="14"/>
    </row>
    <row r="440" spans="3:7" x14ac:dyDescent="0.2">
      <c r="C440" s="13"/>
      <c r="G440" s="14"/>
    </row>
    <row r="441" spans="3:7" x14ac:dyDescent="0.2">
      <c r="C441" s="13"/>
      <c r="G441" s="14"/>
    </row>
    <row r="442" spans="3:7" x14ac:dyDescent="0.2">
      <c r="C442" s="13"/>
      <c r="G442" s="14"/>
    </row>
    <row r="443" spans="3:7" x14ac:dyDescent="0.2">
      <c r="C443" s="13"/>
      <c r="G443" s="14"/>
    </row>
    <row r="444" spans="3:7" x14ac:dyDescent="0.2">
      <c r="C444" s="13"/>
      <c r="G444" s="14"/>
    </row>
    <row r="445" spans="3:7" x14ac:dyDescent="0.2">
      <c r="C445" s="13"/>
      <c r="G445" s="14"/>
    </row>
    <row r="446" spans="3:7" x14ac:dyDescent="0.2">
      <c r="C446" s="13"/>
      <c r="G446" s="14"/>
    </row>
    <row r="447" spans="3:7" x14ac:dyDescent="0.2">
      <c r="C447" s="13"/>
      <c r="G447" s="14"/>
    </row>
    <row r="448" spans="3:7" x14ac:dyDescent="0.2">
      <c r="C448" s="13"/>
      <c r="G448" s="14"/>
    </row>
    <row r="449" spans="3:7" x14ac:dyDescent="0.2">
      <c r="C449" s="13"/>
      <c r="G449" s="14"/>
    </row>
    <row r="450" spans="3:7" x14ac:dyDescent="0.2">
      <c r="C450" s="13"/>
      <c r="G450" s="14"/>
    </row>
    <row r="451" spans="3:7" x14ac:dyDescent="0.2">
      <c r="C451" s="13"/>
      <c r="G451" s="14"/>
    </row>
    <row r="452" spans="3:7" x14ac:dyDescent="0.2">
      <c r="C452" s="13"/>
      <c r="G452" s="14"/>
    </row>
    <row r="453" spans="3:7" x14ac:dyDescent="0.2">
      <c r="C453" s="13"/>
      <c r="G453" s="14"/>
    </row>
    <row r="454" spans="3:7" x14ac:dyDescent="0.2">
      <c r="C454" s="13"/>
      <c r="G454" s="14"/>
    </row>
    <row r="455" spans="3:7" x14ac:dyDescent="0.2">
      <c r="C455" s="13"/>
      <c r="G455" s="14"/>
    </row>
    <row r="456" spans="3:7" x14ac:dyDescent="0.2">
      <c r="C456" s="13"/>
      <c r="G456" s="14"/>
    </row>
    <row r="457" spans="3:7" x14ac:dyDescent="0.2">
      <c r="C457" s="13"/>
      <c r="G457" s="14"/>
    </row>
    <row r="458" spans="3:7" x14ac:dyDescent="0.2">
      <c r="C458" s="13"/>
      <c r="G458" s="14"/>
    </row>
    <row r="459" spans="3:7" x14ac:dyDescent="0.2">
      <c r="C459" s="13"/>
      <c r="G459" s="14"/>
    </row>
    <row r="460" spans="3:7" x14ac:dyDescent="0.2">
      <c r="C460" s="13"/>
      <c r="G460" s="14"/>
    </row>
    <row r="461" spans="3:7" x14ac:dyDescent="0.2">
      <c r="C461" s="13"/>
      <c r="G461" s="14"/>
    </row>
    <row r="462" spans="3:7" x14ac:dyDescent="0.2">
      <c r="C462" s="13"/>
      <c r="G462" s="14"/>
    </row>
    <row r="463" spans="3:7" x14ac:dyDescent="0.2">
      <c r="C463" s="13"/>
      <c r="G463" s="14"/>
    </row>
    <row r="464" spans="3:7" x14ac:dyDescent="0.2">
      <c r="C464" s="13"/>
      <c r="G464" s="14"/>
    </row>
    <row r="465" spans="3:7" x14ac:dyDescent="0.2">
      <c r="C465" s="13"/>
      <c r="G465" s="14"/>
    </row>
    <row r="466" spans="3:7" x14ac:dyDescent="0.2">
      <c r="C466" s="13"/>
      <c r="G466" s="14"/>
    </row>
    <row r="467" spans="3:7" x14ac:dyDescent="0.2">
      <c r="C467" s="13"/>
      <c r="G467" s="14"/>
    </row>
    <row r="468" spans="3:7" x14ac:dyDescent="0.2">
      <c r="C468" s="13"/>
      <c r="G468" s="14"/>
    </row>
    <row r="469" spans="3:7" x14ac:dyDescent="0.2">
      <c r="C469" s="13"/>
      <c r="G469" s="14"/>
    </row>
    <row r="470" spans="3:7" x14ac:dyDescent="0.2">
      <c r="C470" s="13"/>
      <c r="G470" s="14"/>
    </row>
    <row r="471" spans="3:7" x14ac:dyDescent="0.2">
      <c r="C471" s="13"/>
      <c r="G471" s="14"/>
    </row>
    <row r="472" spans="3:7" x14ac:dyDescent="0.2">
      <c r="C472" s="13"/>
      <c r="G472" s="14"/>
    </row>
    <row r="473" spans="3:7" x14ac:dyDescent="0.2">
      <c r="C473" s="13"/>
      <c r="G473" s="14"/>
    </row>
    <row r="474" spans="3:7" x14ac:dyDescent="0.2">
      <c r="C474" s="13"/>
      <c r="G474" s="14"/>
    </row>
    <row r="475" spans="3:7" x14ac:dyDescent="0.2">
      <c r="C475" s="13"/>
      <c r="G475" s="14"/>
    </row>
    <row r="476" spans="3:7" x14ac:dyDescent="0.2">
      <c r="C476" s="13"/>
      <c r="G476" s="14"/>
    </row>
    <row r="477" spans="3:7" x14ac:dyDescent="0.2">
      <c r="C477" s="13"/>
      <c r="G477" s="14"/>
    </row>
    <row r="478" spans="3:7" x14ac:dyDescent="0.2">
      <c r="C478" s="13"/>
      <c r="G478" s="14"/>
    </row>
    <row r="479" spans="3:7" x14ac:dyDescent="0.2">
      <c r="C479" s="13"/>
      <c r="G479" s="14"/>
    </row>
    <row r="480" spans="3:7" x14ac:dyDescent="0.2">
      <c r="C480" s="13"/>
      <c r="G480" s="14"/>
    </row>
    <row r="481" spans="3:7" x14ac:dyDescent="0.2">
      <c r="C481" s="13"/>
      <c r="G481" s="14"/>
    </row>
    <row r="482" spans="3:7" x14ac:dyDescent="0.2">
      <c r="C482" s="13"/>
      <c r="G482" s="14"/>
    </row>
    <row r="483" spans="3:7" x14ac:dyDescent="0.2">
      <c r="C483" s="13"/>
      <c r="G483" s="14"/>
    </row>
    <row r="484" spans="3:7" x14ac:dyDescent="0.2">
      <c r="C484" s="13"/>
      <c r="G484" s="14"/>
    </row>
    <row r="485" spans="3:7" x14ac:dyDescent="0.2">
      <c r="C485" s="13"/>
      <c r="G485" s="14"/>
    </row>
    <row r="486" spans="3:7" x14ac:dyDescent="0.2">
      <c r="C486" s="13"/>
      <c r="G486" s="14"/>
    </row>
    <row r="487" spans="3:7" x14ac:dyDescent="0.2">
      <c r="C487" s="13"/>
      <c r="G487" s="14"/>
    </row>
    <row r="488" spans="3:7" x14ac:dyDescent="0.2">
      <c r="C488" s="13"/>
      <c r="G488" s="14"/>
    </row>
    <row r="489" spans="3:7" x14ac:dyDescent="0.2">
      <c r="C489" s="13"/>
      <c r="G489" s="14"/>
    </row>
    <row r="490" spans="3:7" x14ac:dyDescent="0.2">
      <c r="C490" s="13"/>
      <c r="G490" s="14"/>
    </row>
    <row r="491" spans="3:7" x14ac:dyDescent="0.2">
      <c r="C491" s="13"/>
      <c r="G491" s="14"/>
    </row>
    <row r="492" spans="3:7" x14ac:dyDescent="0.2">
      <c r="C492" s="13"/>
      <c r="G492" s="14"/>
    </row>
    <row r="493" spans="3:7" x14ac:dyDescent="0.2">
      <c r="C493" s="13"/>
      <c r="G493" s="14"/>
    </row>
    <row r="494" spans="3:7" x14ac:dyDescent="0.2">
      <c r="C494" s="13"/>
      <c r="G494" s="14"/>
    </row>
    <row r="495" spans="3:7" x14ac:dyDescent="0.2">
      <c r="C495" s="13"/>
      <c r="G495" s="14"/>
    </row>
    <row r="496" spans="3:7" x14ac:dyDescent="0.2">
      <c r="C496" s="13"/>
      <c r="G496" s="14"/>
    </row>
    <row r="497" spans="3:7" x14ac:dyDescent="0.2">
      <c r="C497" s="13"/>
      <c r="G497" s="14"/>
    </row>
    <row r="498" spans="3:7" x14ac:dyDescent="0.2">
      <c r="C498" s="13"/>
      <c r="G498" s="14"/>
    </row>
    <row r="499" spans="3:7" x14ac:dyDescent="0.2">
      <c r="C499" s="13"/>
      <c r="G499" s="14"/>
    </row>
    <row r="500" spans="3:7" x14ac:dyDescent="0.2">
      <c r="C500" s="13"/>
      <c r="G500" s="14"/>
    </row>
  </sheetData>
  <mergeCells count="1">
    <mergeCell ref="A3:H3"/>
  </mergeCells>
  <conditionalFormatting sqref="N6:N11">
    <cfRule type="expression" dxfId="35" priority="1">
      <formula>OR(ISNUMBER(SEARCH("Require",N6)),ISNUMBER(SEARCH("only if valid",N6)))</formula>
    </cfRule>
  </conditionalFormatting>
  <conditionalFormatting sqref="N6:N11">
    <cfRule type="expression" dxfId="34" priority="2">
      <formula>N6="VALID"</formula>
    </cfRule>
  </conditionalFormatting>
  <conditionalFormatting sqref="N6:N11">
    <cfRule type="expression" dxfId="33" priority="3">
      <formula>OR(N6="INVALID",N6="REJECTED")</formula>
    </cfRule>
  </conditionalFormatting>
  <conditionalFormatting sqref="H6:H11">
    <cfRule type="expression" dxfId="32" priority="4">
      <formula>ISNUMBER(SEARCH("INVALID",H6))</formula>
    </cfRule>
  </conditionalFormatting>
  <conditionalFormatting sqref="H6:H11">
    <cfRule type="expression" dxfId="31" priority="5">
      <formula>H6="VALID"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F37C-CA85-FB42-8EC0-3D8C9B97EB08}">
  <dimension ref="A1:Y78"/>
  <sheetViews>
    <sheetView showGridLines="0" topLeftCell="F1" workbookViewId="0">
      <pane ySplit="4" topLeftCell="A11" activePane="bottomLeft" state="frozen"/>
      <selection pane="bottomLeft" activeCell="B11" sqref="B11"/>
    </sheetView>
  </sheetViews>
  <sheetFormatPr baseColWidth="10" defaultRowHeight="16" x14ac:dyDescent="0.2"/>
  <cols>
    <col min="1" max="1" width="25" style="3" customWidth="1"/>
    <col min="2" max="4" width="15" style="3" customWidth="1"/>
    <col min="5" max="5" width="4.1640625" style="3" customWidth="1"/>
    <col min="6" max="6" width="20.83203125" style="3" customWidth="1"/>
    <col min="7" max="7" width="55" style="3" customWidth="1"/>
    <col min="8" max="8" width="4.1640625" style="3" customWidth="1"/>
    <col min="9" max="10" width="20.83203125" style="3" customWidth="1"/>
    <col min="11" max="12" width="16.6640625" style="3" customWidth="1"/>
    <col min="13" max="14" width="10.83203125" style="3"/>
  </cols>
  <sheetData>
    <row r="1" spans="1:14" ht="24" x14ac:dyDescent="0.3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s="25" customFormat="1" ht="30" customHeight="1" x14ac:dyDescent="0.2">
      <c r="A3" s="38" t="s">
        <v>131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">
      <c r="A4" s="5" t="s">
        <v>63</v>
      </c>
      <c r="B4" s="5"/>
      <c r="C4" s="5"/>
      <c r="D4" s="5"/>
      <c r="F4" s="5" t="s">
        <v>67</v>
      </c>
      <c r="G4" s="5"/>
      <c r="H4" s="5"/>
      <c r="I4" s="5" t="s">
        <v>134</v>
      </c>
      <c r="J4" s="5"/>
    </row>
    <row r="5" spans="1:14" ht="28" customHeight="1" x14ac:dyDescent="0.25">
      <c r="A5" s="3" t="s">
        <v>395</v>
      </c>
      <c r="B5" s="45">
        <f>INDEX(quality_score[overall_score],1)</f>
        <v>93.75</v>
      </c>
      <c r="F5" s="3" t="s">
        <v>68</v>
      </c>
      <c r="G5" s="18" t="s">
        <v>69</v>
      </c>
      <c r="I5" s="6" t="s">
        <v>135</v>
      </c>
      <c r="J5" s="6" t="s">
        <v>136</v>
      </c>
    </row>
    <row r="6" spans="1:14" ht="28" customHeight="1" x14ac:dyDescent="0.25">
      <c r="A6" s="3" t="s">
        <v>396</v>
      </c>
      <c r="B6" s="12" t="str">
        <f>INDEX(quality_score[status],1)</f>
        <v>GOOD</v>
      </c>
      <c r="F6" s="3" t="s">
        <v>70</v>
      </c>
      <c r="G6" s="18" t="s">
        <v>71</v>
      </c>
      <c r="I6" s="3" t="s">
        <v>137</v>
      </c>
      <c r="J6" s="21" t="s">
        <v>138</v>
      </c>
    </row>
    <row r="7" spans="1:14" ht="28" customHeight="1" x14ac:dyDescent="0.25">
      <c r="A7" s="3" t="s">
        <v>20</v>
      </c>
      <c r="B7" s="43">
        <f>INDEX(quality_score[completeness_pct],1)</f>
        <v>100</v>
      </c>
      <c r="F7" s="3" t="s">
        <v>72</v>
      </c>
      <c r="G7" s="18" t="s">
        <v>73</v>
      </c>
      <c r="I7" s="3" t="s">
        <v>139</v>
      </c>
      <c r="J7" s="22" t="s">
        <v>140</v>
      </c>
    </row>
    <row r="8" spans="1:14" ht="28" customHeight="1" x14ac:dyDescent="0.25">
      <c r="A8" s="3" t="s">
        <v>21</v>
      </c>
      <c r="B8" s="43">
        <f>INDEX(quality_score[timeliness_pct],1)</f>
        <v>75</v>
      </c>
      <c r="F8" s="3" t="s">
        <v>74</v>
      </c>
      <c r="G8" s="18" t="s">
        <v>75</v>
      </c>
      <c r="I8" s="3" t="s">
        <v>141</v>
      </c>
      <c r="J8" s="23" t="s">
        <v>142</v>
      </c>
    </row>
    <row r="9" spans="1:14" ht="28" customHeight="1" x14ac:dyDescent="0.25">
      <c r="A9" s="3" t="s">
        <v>22</v>
      </c>
      <c r="B9" s="43">
        <f>INDEX(quality_score[validity_pct],1)</f>
        <v>100</v>
      </c>
      <c r="F9" s="3" t="s">
        <v>395</v>
      </c>
      <c r="G9" s="18" t="s">
        <v>76</v>
      </c>
      <c r="I9" s="3" t="s">
        <v>143</v>
      </c>
      <c r="J9" s="24" t="s">
        <v>144</v>
      </c>
    </row>
    <row r="10" spans="1:14" ht="18" x14ac:dyDescent="0.25">
      <c r="A10" s="3" t="s">
        <v>23</v>
      </c>
      <c r="B10" s="43">
        <f>INDEX(quality_score[consistency_pct],1)</f>
        <v>100</v>
      </c>
    </row>
    <row r="11" spans="1:14" ht="18" x14ac:dyDescent="0.25">
      <c r="A11" s="3" t="s">
        <v>24</v>
      </c>
      <c r="B11" s="44">
        <f>INDEX(quality_score[open_incident_count],1)</f>
        <v>1</v>
      </c>
    </row>
    <row r="12" spans="1:14" ht="18" x14ac:dyDescent="0.25">
      <c r="A12" s="3" t="s">
        <v>66</v>
      </c>
      <c r="B12" s="44">
        <f>INDEX(quality_score[critical_incident_count],1)</f>
        <v>0</v>
      </c>
    </row>
    <row r="13" spans="1:14" ht="18" x14ac:dyDescent="0.25">
      <c r="A13" s="3" t="s">
        <v>132</v>
      </c>
      <c r="B13" s="44">
        <f>INDEX(quality_score[high_incident_count],1)</f>
        <v>1</v>
      </c>
    </row>
    <row r="14" spans="1:14" ht="18" x14ac:dyDescent="0.25">
      <c r="A14" s="3" t="s">
        <v>133</v>
      </c>
      <c r="B14" s="44">
        <f>INDEX(quality_score[medium_incident_count],1)</f>
        <v>0</v>
      </c>
    </row>
    <row r="16" spans="1:14" x14ac:dyDescent="0.2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25" x14ac:dyDescent="0.2">
      <c r="A17" s="5" t="s">
        <v>77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25" x14ac:dyDescent="0.2">
      <c r="A18" s="6" t="s">
        <v>64</v>
      </c>
      <c r="B18" s="6"/>
      <c r="C18" s="6"/>
      <c r="D18" s="6"/>
      <c r="E18" s="6" t="s">
        <v>123</v>
      </c>
      <c r="F18" s="6"/>
      <c r="G18" s="6"/>
      <c r="H18" s="6"/>
      <c r="I18" s="6" t="s">
        <v>145</v>
      </c>
      <c r="J18" s="6"/>
      <c r="K18" s="6"/>
      <c r="L18" s="6"/>
      <c r="O18" t="s">
        <v>272</v>
      </c>
      <c r="P18" t="s">
        <v>317</v>
      </c>
      <c r="R18" t="s">
        <v>272</v>
      </c>
      <c r="S18" t="s">
        <v>318</v>
      </c>
      <c r="T18" t="s">
        <v>319</v>
      </c>
      <c r="U18" t="s">
        <v>320</v>
      </c>
      <c r="V18" t="s">
        <v>321</v>
      </c>
      <c r="X18" t="s">
        <v>272</v>
      </c>
      <c r="Y18" t="s">
        <v>322</v>
      </c>
    </row>
    <row r="19" spans="1:25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O19" s="62" t="str" cm="1">
        <f t="array" ref="O19:O77">TEXT(_xlfn.LET(_xlpm.x,quality_history[ingested_at_utc],_xlfn.TAKE(_xlpm.x,-MIN(ROWS(_xlpm.x),5000))),"m/d hh:mm")</f>
        <v>9/24 10:02</v>
      </c>
      <c r="P19" s="123" cm="1">
        <f t="array" ref="P19:P77">_xlfn.LET(_xlpm.x,quality_history[overall_score],_xlfn.TAKE(_xlpm.x,-MIN(ROWS(_xlpm.x),5000)))</f>
        <v>94.62</v>
      </c>
      <c r="R19" s="62" t="str" cm="1">
        <f t="array" ref="R19:R77">TEXT(_xlfn.LET(_xlpm.x,quality_history[ingested_at_utc],_xlfn.TAKE(_xlpm.x,-MIN(ROWS(_xlpm.x),5000))),"m/d hh:mm")</f>
        <v>9/24 10:02</v>
      </c>
      <c r="S19" s="123" cm="1">
        <f t="array" ref="S19:S77">_xlfn.LET(_xlpm.x,quality_history[completeness_pct],_xlfn.TAKE(_xlpm.x,-MIN(ROWS(_xlpm.x),5000)))</f>
        <v>100</v>
      </c>
      <c r="T19" s="123" cm="1">
        <f t="array" ref="T19:T77">_xlfn.LET(_xlpm.x,quality_history[timeliness_pct],_xlfn.TAKE(_xlpm.x,-MIN(ROWS(_xlpm.x),5000)))</f>
        <v>97.3</v>
      </c>
      <c r="U19" s="123" cm="1">
        <f t="array" ref="U19:U77">_xlfn.LET(_xlpm.x,quality_history[validity_pct],_xlfn.TAKE(_xlpm.x,-MIN(ROWS(_xlpm.x),5000)))</f>
        <v>100</v>
      </c>
      <c r="V19" s="123" cm="1">
        <f t="array" ref="V19:V77">_xlfn.LET(_xlpm.x,quality_history[consistency_pct],_xlfn.TAKE(_xlpm.x,-MIN(ROWS(_xlpm.x),5000)))</f>
        <v>76.47</v>
      </c>
      <c r="X19" s="62" t="str" cm="1">
        <f t="array" ref="X19:X77">TEXT(_xlfn.LET(_xlpm.x,quality_history[ingested_at_utc],_xlfn.TAKE(_xlpm.x,-MIN(ROWS(_xlpm.x),5000))),"m/d hh:mm")</f>
        <v>9/24 10:02</v>
      </c>
      <c r="Y19" s="124" cm="1">
        <f t="array" ref="Y19:Y77">_xlfn.LET(_xlpm.x,quality_history[open_incident_count],_xlfn.TAKE(_xlpm.x,-MIN(ROWS(_xlpm.x),5000)))</f>
        <v>5</v>
      </c>
    </row>
    <row r="20" spans="1:25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O20" s="62" t="str">
        <v>9/24 10:02</v>
      </c>
      <c r="P20" s="123">
        <v>93.44</v>
      </c>
      <c r="R20" s="62" t="str">
        <v>9/24 10:02</v>
      </c>
      <c r="S20" s="123">
        <v>100</v>
      </c>
      <c r="T20" s="123">
        <v>97.3</v>
      </c>
      <c r="U20" s="123">
        <v>100</v>
      </c>
      <c r="V20" s="123">
        <v>70.59</v>
      </c>
      <c r="X20" s="62" t="str">
        <v>9/24 10:02</v>
      </c>
      <c r="Y20" s="124">
        <v>6</v>
      </c>
    </row>
    <row r="21" spans="1:25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O21" s="62" t="str">
        <v>9/24 10:07</v>
      </c>
      <c r="P21" s="123">
        <v>95.8</v>
      </c>
      <c r="R21" s="62" t="str">
        <v>9/24 10:07</v>
      </c>
      <c r="S21" s="123">
        <v>100</v>
      </c>
      <c r="T21" s="123">
        <v>97.3</v>
      </c>
      <c r="U21" s="123">
        <v>100</v>
      </c>
      <c r="V21" s="123">
        <v>82.35</v>
      </c>
      <c r="X21" s="62" t="str">
        <v>9/24 10:07</v>
      </c>
      <c r="Y21" s="124">
        <v>4</v>
      </c>
    </row>
    <row r="22" spans="1:25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O22" s="62" t="str">
        <v>9/24 10:12</v>
      </c>
      <c r="P22" s="123">
        <v>95.8</v>
      </c>
      <c r="R22" s="62" t="str">
        <v>9/24 10:12</v>
      </c>
      <c r="S22" s="123">
        <v>100</v>
      </c>
      <c r="T22" s="123">
        <v>97.3</v>
      </c>
      <c r="U22" s="123">
        <v>100</v>
      </c>
      <c r="V22" s="123">
        <v>82.35</v>
      </c>
      <c r="X22" s="62" t="str">
        <v>9/24 10:12</v>
      </c>
      <c r="Y22" s="124">
        <v>4</v>
      </c>
    </row>
    <row r="23" spans="1:25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O23" s="62" t="str">
        <v>9/24 10:12</v>
      </c>
      <c r="P23" s="123">
        <v>95.8</v>
      </c>
      <c r="R23" s="62" t="str">
        <v>9/24 10:12</v>
      </c>
      <c r="S23" s="123">
        <v>100</v>
      </c>
      <c r="T23" s="123">
        <v>97.3</v>
      </c>
      <c r="U23" s="123">
        <v>100</v>
      </c>
      <c r="V23" s="123">
        <v>82.35</v>
      </c>
      <c r="X23" s="62" t="str">
        <v>9/24 10:12</v>
      </c>
      <c r="Y23" s="124">
        <v>4</v>
      </c>
    </row>
    <row r="24" spans="1:25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O24" s="62" t="str">
        <v>9/24 10:17</v>
      </c>
      <c r="P24" s="123">
        <v>95.8</v>
      </c>
      <c r="R24" s="62" t="str">
        <v>9/24 10:17</v>
      </c>
      <c r="S24" s="123">
        <v>100</v>
      </c>
      <c r="T24" s="123">
        <v>97.3</v>
      </c>
      <c r="U24" s="123">
        <v>100</v>
      </c>
      <c r="V24" s="123">
        <v>82.35</v>
      </c>
      <c r="X24" s="62" t="str">
        <v>9/24 10:17</v>
      </c>
      <c r="Y24" s="124">
        <v>4</v>
      </c>
    </row>
    <row r="25" spans="1:25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O25" s="62" t="str">
        <v>9/24 10:22</v>
      </c>
      <c r="P25" s="123">
        <v>94.62</v>
      </c>
      <c r="R25" s="62" t="str">
        <v>9/24 10:22</v>
      </c>
      <c r="S25" s="123">
        <v>100</v>
      </c>
      <c r="T25" s="123">
        <v>97.3</v>
      </c>
      <c r="U25" s="123">
        <v>100</v>
      </c>
      <c r="V25" s="123">
        <v>76.47</v>
      </c>
      <c r="X25" s="62" t="str">
        <v>9/24 10:22</v>
      </c>
      <c r="Y25" s="124">
        <v>5</v>
      </c>
    </row>
    <row r="26" spans="1:25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O26" s="62" t="str">
        <v>9/24 10:27</v>
      </c>
      <c r="P26" s="123">
        <v>95.8</v>
      </c>
      <c r="R26" s="62" t="str">
        <v>9/24 10:27</v>
      </c>
      <c r="S26" s="123">
        <v>100</v>
      </c>
      <c r="T26" s="123">
        <v>97.3</v>
      </c>
      <c r="U26" s="123">
        <v>100</v>
      </c>
      <c r="V26" s="123">
        <v>82.35</v>
      </c>
      <c r="X26" s="62" t="str">
        <v>9/24 10:27</v>
      </c>
      <c r="Y26" s="124">
        <v>4</v>
      </c>
    </row>
    <row r="27" spans="1:25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O27" s="62" t="str">
        <v>9/24 10:32</v>
      </c>
      <c r="P27" s="123">
        <v>95.8</v>
      </c>
      <c r="R27" s="62" t="str">
        <v>9/24 10:32</v>
      </c>
      <c r="S27" s="123">
        <v>100</v>
      </c>
      <c r="T27" s="123">
        <v>97.3</v>
      </c>
      <c r="U27" s="123">
        <v>100</v>
      </c>
      <c r="V27" s="123">
        <v>82.35</v>
      </c>
      <c r="X27" s="62" t="str">
        <v>9/24 10:32</v>
      </c>
      <c r="Y27" s="124">
        <v>4</v>
      </c>
    </row>
    <row r="28" spans="1:25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O28" s="62" t="str">
        <v>9/24 10:37</v>
      </c>
      <c r="P28" s="123">
        <v>94.62</v>
      </c>
      <c r="R28" s="62" t="str">
        <v>9/24 10:37</v>
      </c>
      <c r="S28" s="123">
        <v>100</v>
      </c>
      <c r="T28" s="123">
        <v>97.3</v>
      </c>
      <c r="U28" s="123">
        <v>100</v>
      </c>
      <c r="V28" s="123">
        <v>76.47</v>
      </c>
      <c r="X28" s="62" t="str">
        <v>9/24 10:37</v>
      </c>
      <c r="Y28" s="124">
        <v>5</v>
      </c>
    </row>
    <row r="29" spans="1:25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O29" s="62" t="str">
        <v>9/24 10:44</v>
      </c>
      <c r="P29" s="123">
        <v>96.97</v>
      </c>
      <c r="R29" s="62" t="str">
        <v>9/24 10:44</v>
      </c>
      <c r="S29" s="123">
        <v>100</v>
      </c>
      <c r="T29" s="123">
        <v>97.3</v>
      </c>
      <c r="U29" s="123">
        <v>100</v>
      </c>
      <c r="V29" s="123">
        <v>88.24</v>
      </c>
      <c r="X29" s="62" t="str">
        <v>9/24 10:44</v>
      </c>
      <c r="Y29" s="124">
        <v>3</v>
      </c>
    </row>
    <row r="30" spans="1:25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O30" s="62" t="str">
        <v>9/24 11:51</v>
      </c>
      <c r="P30" s="123">
        <v>98.15</v>
      </c>
      <c r="R30" s="62" t="str">
        <v>9/24 11:51</v>
      </c>
      <c r="S30" s="123">
        <v>100</v>
      </c>
      <c r="T30" s="123">
        <v>97.3</v>
      </c>
      <c r="U30" s="123">
        <v>100</v>
      </c>
      <c r="V30" s="123">
        <v>94.12</v>
      </c>
      <c r="X30" s="62" t="str">
        <v>9/24 11:51</v>
      </c>
      <c r="Y30" s="124">
        <v>2</v>
      </c>
    </row>
    <row r="31" spans="1:25" x14ac:dyDescent="0.2">
      <c r="O31" s="62" t="str">
        <v>9/24 11:56</v>
      </c>
      <c r="P31" s="123">
        <v>95.8</v>
      </c>
      <c r="R31" s="62" t="str">
        <v>9/24 11:56</v>
      </c>
      <c r="S31" s="123">
        <v>100</v>
      </c>
      <c r="T31" s="123">
        <v>97.3</v>
      </c>
      <c r="U31" s="123">
        <v>100</v>
      </c>
      <c r="V31" s="123">
        <v>82.35</v>
      </c>
      <c r="X31" s="62" t="str">
        <v>9/24 11:56</v>
      </c>
      <c r="Y31" s="124">
        <v>4</v>
      </c>
    </row>
    <row r="32" spans="1:25" x14ac:dyDescent="0.2">
      <c r="O32" s="62" t="str">
        <v>9/24 12:01</v>
      </c>
      <c r="P32" s="123">
        <v>96.97</v>
      </c>
      <c r="R32" s="62" t="str">
        <v>9/24 12:01</v>
      </c>
      <c r="S32" s="123">
        <v>100</v>
      </c>
      <c r="T32" s="123">
        <v>97.3</v>
      </c>
      <c r="U32" s="123">
        <v>100</v>
      </c>
      <c r="V32" s="123">
        <v>88.24</v>
      </c>
      <c r="X32" s="62" t="str">
        <v>9/24 12:01</v>
      </c>
      <c r="Y32" s="124">
        <v>3</v>
      </c>
    </row>
    <row r="33" spans="15:25" x14ac:dyDescent="0.2">
      <c r="O33" s="62" t="str">
        <v>9/24 12:06</v>
      </c>
      <c r="P33" s="123">
        <v>94.62</v>
      </c>
      <c r="R33" s="62" t="str">
        <v>9/24 12:06</v>
      </c>
      <c r="S33" s="123">
        <v>100</v>
      </c>
      <c r="T33" s="123">
        <v>97.3</v>
      </c>
      <c r="U33" s="123">
        <v>100</v>
      </c>
      <c r="V33" s="123">
        <v>76.47</v>
      </c>
      <c r="X33" s="62" t="str">
        <v>9/24 12:06</v>
      </c>
      <c r="Y33" s="124">
        <v>5</v>
      </c>
    </row>
    <row r="34" spans="15:25" x14ac:dyDescent="0.2">
      <c r="O34" s="62" t="str">
        <v>9/24 12:11</v>
      </c>
      <c r="P34" s="123">
        <v>95.8</v>
      </c>
      <c r="R34" s="62" t="str">
        <v>9/24 12:11</v>
      </c>
      <c r="S34" s="123">
        <v>100</v>
      </c>
      <c r="T34" s="123">
        <v>97.3</v>
      </c>
      <c r="U34" s="123">
        <v>100</v>
      </c>
      <c r="V34" s="123">
        <v>82.35</v>
      </c>
      <c r="X34" s="62" t="str">
        <v>9/24 12:11</v>
      </c>
      <c r="Y34" s="124">
        <v>4</v>
      </c>
    </row>
    <row r="35" spans="15:25" x14ac:dyDescent="0.2">
      <c r="O35" s="62" t="str">
        <v>9/24 12:16</v>
      </c>
      <c r="P35" s="123">
        <v>92.42</v>
      </c>
      <c r="R35" s="62" t="str">
        <v>9/24 12:16</v>
      </c>
      <c r="S35" s="123">
        <v>100</v>
      </c>
      <c r="T35" s="123">
        <v>97.3</v>
      </c>
      <c r="U35" s="123">
        <v>86.49</v>
      </c>
      <c r="V35" s="123">
        <v>82.35</v>
      </c>
      <c r="X35" s="62" t="str">
        <v>9/24 12:16</v>
      </c>
      <c r="Y35" s="124">
        <v>9</v>
      </c>
    </row>
    <row r="36" spans="15:25" x14ac:dyDescent="0.2">
      <c r="O36" s="62" t="str">
        <v>9/24 12:21</v>
      </c>
      <c r="P36" s="123">
        <v>93.44</v>
      </c>
      <c r="R36" s="62" t="str">
        <v>9/24 12:21</v>
      </c>
      <c r="S36" s="123">
        <v>100</v>
      </c>
      <c r="T36" s="123">
        <v>97.3</v>
      </c>
      <c r="U36" s="123">
        <v>100</v>
      </c>
      <c r="V36" s="123">
        <v>70.59</v>
      </c>
      <c r="X36" s="62" t="str">
        <v>9/24 12:21</v>
      </c>
      <c r="Y36" s="124">
        <v>6</v>
      </c>
    </row>
    <row r="37" spans="15:25" x14ac:dyDescent="0.2">
      <c r="O37" s="62" t="str">
        <v>9/24 12:26</v>
      </c>
      <c r="P37" s="123">
        <v>92.77</v>
      </c>
      <c r="R37" s="62" t="str">
        <v>9/24 12:26</v>
      </c>
      <c r="S37" s="123">
        <v>100</v>
      </c>
      <c r="T37" s="123">
        <v>97.3</v>
      </c>
      <c r="U37" s="123">
        <v>97.3</v>
      </c>
      <c r="V37" s="123">
        <v>70.59</v>
      </c>
      <c r="X37" s="62" t="str">
        <v>9/24 12:26</v>
      </c>
      <c r="Y37" s="124">
        <v>7</v>
      </c>
    </row>
    <row r="38" spans="15:25" x14ac:dyDescent="0.2">
      <c r="O38" s="62" t="str">
        <v>9/24 12:31</v>
      </c>
      <c r="P38" s="123">
        <v>93.44</v>
      </c>
      <c r="R38" s="62" t="str">
        <v>9/24 12:31</v>
      </c>
      <c r="S38" s="123">
        <v>100</v>
      </c>
      <c r="T38" s="123">
        <v>97.3</v>
      </c>
      <c r="U38" s="123">
        <v>100</v>
      </c>
      <c r="V38" s="123">
        <v>70.59</v>
      </c>
      <c r="X38" s="62" t="str">
        <v>9/24 12:31</v>
      </c>
      <c r="Y38" s="124">
        <v>6</v>
      </c>
    </row>
    <row r="39" spans="15:25" x14ac:dyDescent="0.2">
      <c r="O39" s="62" t="str">
        <v>9/24 12:36</v>
      </c>
      <c r="P39">
        <v>95.8</v>
      </c>
      <c r="R39" s="62" t="str">
        <v>9/24 12:36</v>
      </c>
      <c r="S39">
        <v>100</v>
      </c>
      <c r="T39">
        <v>97.3</v>
      </c>
      <c r="U39">
        <v>100</v>
      </c>
      <c r="V39">
        <v>82.35</v>
      </c>
      <c r="X39" s="62" t="str">
        <v>9/24 12:36</v>
      </c>
      <c r="Y39">
        <v>4</v>
      </c>
    </row>
    <row r="40" spans="15:25" x14ac:dyDescent="0.2">
      <c r="O40" s="62" t="str">
        <v>9/24 12:41</v>
      </c>
      <c r="P40">
        <v>94.62</v>
      </c>
      <c r="R40" s="62" t="str">
        <v>9/24 12:41</v>
      </c>
      <c r="S40">
        <v>100</v>
      </c>
      <c r="T40">
        <v>97.3</v>
      </c>
      <c r="U40">
        <v>100</v>
      </c>
      <c r="V40">
        <v>76.47</v>
      </c>
      <c r="X40" s="62" t="str">
        <v>9/24 12:41</v>
      </c>
      <c r="Y40">
        <v>5</v>
      </c>
    </row>
    <row r="41" spans="15:25" x14ac:dyDescent="0.2">
      <c r="O41" s="62" t="str">
        <v>9/24 12:46</v>
      </c>
      <c r="P41">
        <v>94.62</v>
      </c>
      <c r="R41" s="62" t="str">
        <v>9/24 12:46</v>
      </c>
      <c r="S41">
        <v>100</v>
      </c>
      <c r="T41">
        <v>97.3</v>
      </c>
      <c r="U41">
        <v>100</v>
      </c>
      <c r="V41">
        <v>76.47</v>
      </c>
      <c r="X41" s="62" t="str">
        <v>9/24 12:46</v>
      </c>
      <c r="Y41">
        <v>5</v>
      </c>
    </row>
    <row r="42" spans="15:25" x14ac:dyDescent="0.2">
      <c r="O42" s="62" t="str">
        <v>9/24 12:51</v>
      </c>
      <c r="P42">
        <v>96.97</v>
      </c>
      <c r="R42" s="62" t="str">
        <v>9/24 12:51</v>
      </c>
      <c r="S42">
        <v>100</v>
      </c>
      <c r="T42">
        <v>97.3</v>
      </c>
      <c r="U42">
        <v>100</v>
      </c>
      <c r="V42">
        <v>88.24</v>
      </c>
      <c r="X42" s="62" t="str">
        <v>9/24 12:51</v>
      </c>
      <c r="Y42">
        <v>3</v>
      </c>
    </row>
    <row r="43" spans="15:25" x14ac:dyDescent="0.2">
      <c r="O43" s="62" t="str">
        <v>9/24 12:56</v>
      </c>
      <c r="P43">
        <v>96.97</v>
      </c>
      <c r="R43" s="62" t="str">
        <v>9/24 12:56</v>
      </c>
      <c r="S43">
        <v>100</v>
      </c>
      <c r="T43">
        <v>97.3</v>
      </c>
      <c r="U43">
        <v>100</v>
      </c>
      <c r="V43">
        <v>88.24</v>
      </c>
      <c r="X43" s="62" t="str">
        <v>9/24 12:56</v>
      </c>
      <c r="Y43">
        <v>3</v>
      </c>
    </row>
    <row r="44" spans="15:25" x14ac:dyDescent="0.2">
      <c r="O44" s="62" t="str">
        <v>9/24 13:02</v>
      </c>
      <c r="P44">
        <v>92.27</v>
      </c>
      <c r="R44" s="62" t="str">
        <v>9/24 13:02</v>
      </c>
      <c r="S44">
        <v>100</v>
      </c>
      <c r="T44">
        <v>97.3</v>
      </c>
      <c r="U44">
        <v>100</v>
      </c>
      <c r="V44">
        <v>64.709999999999994</v>
      </c>
      <c r="X44" s="62" t="str">
        <v>9/24 13:02</v>
      </c>
      <c r="Y44">
        <v>7</v>
      </c>
    </row>
    <row r="45" spans="15:25" x14ac:dyDescent="0.2">
      <c r="O45" s="62" t="str">
        <v>9/24 13:07</v>
      </c>
      <c r="P45">
        <v>95.8</v>
      </c>
      <c r="R45" s="62" t="str">
        <v>9/24 13:07</v>
      </c>
      <c r="S45">
        <v>100</v>
      </c>
      <c r="T45">
        <v>97.3</v>
      </c>
      <c r="U45">
        <v>100</v>
      </c>
      <c r="V45">
        <v>82.35</v>
      </c>
      <c r="X45" s="62" t="str">
        <v>9/24 13:07</v>
      </c>
      <c r="Y45">
        <v>4</v>
      </c>
    </row>
    <row r="46" spans="15:25" x14ac:dyDescent="0.2">
      <c r="O46" s="62" t="str">
        <v>9/24 13:12</v>
      </c>
      <c r="P46">
        <v>96.97</v>
      </c>
      <c r="R46" s="62" t="str">
        <v>9/24 13:12</v>
      </c>
      <c r="S46">
        <v>100</v>
      </c>
      <c r="T46">
        <v>97.3</v>
      </c>
      <c r="U46">
        <v>100</v>
      </c>
      <c r="V46">
        <v>88.24</v>
      </c>
      <c r="X46" s="62" t="str">
        <v>9/24 13:12</v>
      </c>
      <c r="Y46">
        <v>3</v>
      </c>
    </row>
    <row r="47" spans="15:25" x14ac:dyDescent="0.2">
      <c r="O47" s="62" t="str">
        <v>9/24 13:17</v>
      </c>
      <c r="P47">
        <v>94.62</v>
      </c>
      <c r="R47" s="62" t="str">
        <v>9/24 13:17</v>
      </c>
      <c r="S47">
        <v>100</v>
      </c>
      <c r="T47">
        <v>97.3</v>
      </c>
      <c r="U47">
        <v>100</v>
      </c>
      <c r="V47">
        <v>76.47</v>
      </c>
      <c r="X47" s="62" t="str">
        <v>9/24 13:17</v>
      </c>
      <c r="Y47">
        <v>5</v>
      </c>
    </row>
    <row r="48" spans="15:25" x14ac:dyDescent="0.2">
      <c r="O48" s="62" t="str">
        <v>9/24 13:22</v>
      </c>
      <c r="P48">
        <v>94.62</v>
      </c>
      <c r="R48" s="62" t="str">
        <v>9/24 13:22</v>
      </c>
      <c r="S48">
        <v>100</v>
      </c>
      <c r="T48">
        <v>97.3</v>
      </c>
      <c r="U48">
        <v>100</v>
      </c>
      <c r="V48">
        <v>76.47</v>
      </c>
      <c r="X48" s="62" t="str">
        <v>9/24 13:22</v>
      </c>
      <c r="Y48">
        <v>5</v>
      </c>
    </row>
    <row r="49" spans="15:25" x14ac:dyDescent="0.2">
      <c r="O49" s="62" t="str">
        <v>9/24 13:27</v>
      </c>
      <c r="P49">
        <v>95.8</v>
      </c>
      <c r="R49" s="62" t="str">
        <v>9/24 13:27</v>
      </c>
      <c r="S49">
        <v>100</v>
      </c>
      <c r="T49">
        <v>97.3</v>
      </c>
      <c r="U49">
        <v>100</v>
      </c>
      <c r="V49">
        <v>82.35</v>
      </c>
      <c r="X49" s="62" t="str">
        <v>9/24 13:27</v>
      </c>
      <c r="Y49">
        <v>4</v>
      </c>
    </row>
    <row r="50" spans="15:25" x14ac:dyDescent="0.2">
      <c r="O50" s="62" t="str">
        <v>9/24 13:32</v>
      </c>
      <c r="P50">
        <v>95.8</v>
      </c>
      <c r="R50" s="62" t="str">
        <v>9/24 13:32</v>
      </c>
      <c r="S50">
        <v>100</v>
      </c>
      <c r="T50">
        <v>97.3</v>
      </c>
      <c r="U50">
        <v>100</v>
      </c>
      <c r="V50">
        <v>82.35</v>
      </c>
      <c r="X50" s="62" t="str">
        <v>9/24 13:32</v>
      </c>
      <c r="Y50">
        <v>4</v>
      </c>
    </row>
    <row r="51" spans="15:25" x14ac:dyDescent="0.2">
      <c r="O51" s="62" t="str">
        <v>9/24 13:37</v>
      </c>
      <c r="P51">
        <v>93.44</v>
      </c>
      <c r="R51" s="62" t="str">
        <v>9/24 13:37</v>
      </c>
      <c r="S51">
        <v>100</v>
      </c>
      <c r="T51">
        <v>97.3</v>
      </c>
      <c r="U51">
        <v>100</v>
      </c>
      <c r="V51">
        <v>70.59</v>
      </c>
      <c r="X51" s="62" t="str">
        <v>9/24 13:37</v>
      </c>
      <c r="Y51">
        <v>6</v>
      </c>
    </row>
    <row r="52" spans="15:25" x14ac:dyDescent="0.2">
      <c r="O52" s="62" t="str">
        <v>9/24 13:42</v>
      </c>
      <c r="P52">
        <v>94.62</v>
      </c>
      <c r="R52" s="62" t="str">
        <v>9/24 13:42</v>
      </c>
      <c r="S52">
        <v>100</v>
      </c>
      <c r="T52">
        <v>97.3</v>
      </c>
      <c r="U52">
        <v>100</v>
      </c>
      <c r="V52">
        <v>76.47</v>
      </c>
      <c r="X52" s="62" t="str">
        <v>9/24 13:42</v>
      </c>
      <c r="Y52">
        <v>5</v>
      </c>
    </row>
    <row r="53" spans="15:25" x14ac:dyDescent="0.2">
      <c r="O53" s="62" t="str">
        <v>9/24 13:47</v>
      </c>
      <c r="P53">
        <v>94.62</v>
      </c>
      <c r="R53" s="62" t="str">
        <v>9/24 13:47</v>
      </c>
      <c r="S53">
        <v>100</v>
      </c>
      <c r="T53">
        <v>97.3</v>
      </c>
      <c r="U53">
        <v>100</v>
      </c>
      <c r="V53">
        <v>76.47</v>
      </c>
      <c r="X53" s="62" t="str">
        <v>9/24 13:47</v>
      </c>
      <c r="Y53">
        <v>5</v>
      </c>
    </row>
    <row r="54" spans="15:25" x14ac:dyDescent="0.2">
      <c r="O54" s="62" t="str">
        <v>9/24 13:52</v>
      </c>
      <c r="P54">
        <v>95.8</v>
      </c>
      <c r="R54" s="62" t="str">
        <v>9/24 13:52</v>
      </c>
      <c r="S54">
        <v>100</v>
      </c>
      <c r="T54">
        <v>97.3</v>
      </c>
      <c r="U54">
        <v>100</v>
      </c>
      <c r="V54">
        <v>82.35</v>
      </c>
      <c r="X54" s="62" t="str">
        <v>9/24 13:52</v>
      </c>
      <c r="Y54">
        <v>4</v>
      </c>
    </row>
    <row r="55" spans="15:25" x14ac:dyDescent="0.2">
      <c r="O55" s="62" t="str">
        <v>9/24 13:57</v>
      </c>
      <c r="P55">
        <v>94.62</v>
      </c>
      <c r="R55" s="62" t="str">
        <v>9/24 13:57</v>
      </c>
      <c r="S55">
        <v>100</v>
      </c>
      <c r="T55">
        <v>97.3</v>
      </c>
      <c r="U55">
        <v>100</v>
      </c>
      <c r="V55">
        <v>76.47</v>
      </c>
      <c r="X55" s="62" t="str">
        <v>9/24 13:57</v>
      </c>
      <c r="Y55">
        <v>5</v>
      </c>
    </row>
    <row r="56" spans="15:25" x14ac:dyDescent="0.2">
      <c r="O56" s="62" t="str">
        <v>9/24 14:02</v>
      </c>
      <c r="P56">
        <v>95.8</v>
      </c>
      <c r="R56" s="62" t="str">
        <v>9/24 14:02</v>
      </c>
      <c r="S56">
        <v>100</v>
      </c>
      <c r="T56">
        <v>97.3</v>
      </c>
      <c r="U56">
        <v>100</v>
      </c>
      <c r="V56">
        <v>82.35</v>
      </c>
      <c r="X56" s="62" t="str">
        <v>9/24 14:02</v>
      </c>
      <c r="Y56">
        <v>4</v>
      </c>
    </row>
    <row r="57" spans="15:25" x14ac:dyDescent="0.2">
      <c r="O57" s="62" t="str">
        <v>9/24 14:07</v>
      </c>
      <c r="P57">
        <v>95.8</v>
      </c>
      <c r="R57" s="62" t="str">
        <v>9/24 14:07</v>
      </c>
      <c r="S57">
        <v>100</v>
      </c>
      <c r="T57">
        <v>97.3</v>
      </c>
      <c r="U57">
        <v>100</v>
      </c>
      <c r="V57">
        <v>82.35</v>
      </c>
      <c r="X57" s="62" t="str">
        <v>9/24 14:07</v>
      </c>
      <c r="Y57">
        <v>4</v>
      </c>
    </row>
    <row r="58" spans="15:25" x14ac:dyDescent="0.2">
      <c r="O58" s="62" t="str">
        <v>9/24 14:13</v>
      </c>
      <c r="P58">
        <v>94.62</v>
      </c>
      <c r="R58" s="62" t="str">
        <v>9/24 14:13</v>
      </c>
      <c r="S58">
        <v>100</v>
      </c>
      <c r="T58">
        <v>97.3</v>
      </c>
      <c r="U58">
        <v>100</v>
      </c>
      <c r="V58">
        <v>76.47</v>
      </c>
      <c r="X58" s="62" t="str">
        <v>9/24 14:13</v>
      </c>
      <c r="Y58">
        <v>5</v>
      </c>
    </row>
    <row r="59" spans="15:25" x14ac:dyDescent="0.2">
      <c r="O59" s="62" t="str">
        <v>9/24 14:18</v>
      </c>
      <c r="P59">
        <v>95.8</v>
      </c>
      <c r="R59" s="62" t="str">
        <v>9/24 14:18</v>
      </c>
      <c r="S59">
        <v>100</v>
      </c>
      <c r="T59">
        <v>97.3</v>
      </c>
      <c r="U59">
        <v>100</v>
      </c>
      <c r="V59">
        <v>82.35</v>
      </c>
      <c r="X59" s="62" t="str">
        <v>9/24 14:18</v>
      </c>
      <c r="Y59">
        <v>4</v>
      </c>
    </row>
    <row r="60" spans="15:25" x14ac:dyDescent="0.2">
      <c r="O60" s="62" t="str">
        <v>9/24 14:23</v>
      </c>
      <c r="P60">
        <v>94.62</v>
      </c>
      <c r="R60" s="62" t="str">
        <v>9/24 14:23</v>
      </c>
      <c r="S60">
        <v>100</v>
      </c>
      <c r="T60">
        <v>97.3</v>
      </c>
      <c r="U60">
        <v>100</v>
      </c>
      <c r="V60">
        <v>76.47</v>
      </c>
      <c r="X60" s="62" t="str">
        <v>9/24 14:23</v>
      </c>
      <c r="Y60">
        <v>5</v>
      </c>
    </row>
    <row r="61" spans="15:25" x14ac:dyDescent="0.2">
      <c r="O61" s="62" t="str">
        <v>9/24 14:28</v>
      </c>
      <c r="P61">
        <v>96.97</v>
      </c>
      <c r="R61" s="62" t="str">
        <v>9/24 14:28</v>
      </c>
      <c r="S61">
        <v>100</v>
      </c>
      <c r="T61">
        <v>97.3</v>
      </c>
      <c r="U61">
        <v>100</v>
      </c>
      <c r="V61">
        <v>88.24</v>
      </c>
      <c r="X61" s="62" t="str">
        <v>9/24 14:28</v>
      </c>
      <c r="Y61">
        <v>3</v>
      </c>
    </row>
    <row r="62" spans="15:25" x14ac:dyDescent="0.2">
      <c r="O62" s="62" t="str">
        <v>9/24 14:33</v>
      </c>
      <c r="P62">
        <v>94.62</v>
      </c>
      <c r="R62" s="62" t="str">
        <v>9/24 14:33</v>
      </c>
      <c r="S62">
        <v>100</v>
      </c>
      <c r="T62">
        <v>97.3</v>
      </c>
      <c r="U62">
        <v>100</v>
      </c>
      <c r="V62">
        <v>76.47</v>
      </c>
      <c r="X62" s="62" t="str">
        <v>9/24 14:33</v>
      </c>
      <c r="Y62">
        <v>5</v>
      </c>
    </row>
    <row r="63" spans="15:25" x14ac:dyDescent="0.2">
      <c r="O63" s="62" t="str">
        <v>9/24 14:38</v>
      </c>
      <c r="P63">
        <v>94.62</v>
      </c>
      <c r="R63" s="62" t="str">
        <v>9/24 14:38</v>
      </c>
      <c r="S63">
        <v>100</v>
      </c>
      <c r="T63">
        <v>97.3</v>
      </c>
      <c r="U63">
        <v>100</v>
      </c>
      <c r="V63">
        <v>76.47</v>
      </c>
      <c r="X63" s="62" t="str">
        <v>9/24 14:38</v>
      </c>
      <c r="Y63">
        <v>5</v>
      </c>
    </row>
    <row r="64" spans="15:25" x14ac:dyDescent="0.2">
      <c r="O64" s="62" t="str">
        <v>9/24 16:03</v>
      </c>
      <c r="P64">
        <v>100</v>
      </c>
      <c r="R64" s="62" t="str">
        <v>9/24 16:03</v>
      </c>
      <c r="S64">
        <v>100</v>
      </c>
      <c r="T64">
        <v>100</v>
      </c>
      <c r="U64">
        <v>100</v>
      </c>
      <c r="V64">
        <v>100</v>
      </c>
      <c r="X64" s="62" t="str">
        <v>9/24 16:03</v>
      </c>
      <c r="Y64">
        <v>0</v>
      </c>
    </row>
    <row r="65" spans="15:25" x14ac:dyDescent="0.2">
      <c r="O65" s="62" t="str">
        <v>9/24 16:38</v>
      </c>
      <c r="P65">
        <v>100</v>
      </c>
      <c r="R65" s="62" t="str">
        <v>9/24 16:38</v>
      </c>
      <c r="S65">
        <v>100</v>
      </c>
      <c r="T65">
        <v>100</v>
      </c>
      <c r="U65">
        <v>100</v>
      </c>
      <c r="V65">
        <v>100</v>
      </c>
      <c r="X65" s="62" t="str">
        <v>9/24 16:38</v>
      </c>
      <c r="Y65">
        <v>0</v>
      </c>
    </row>
    <row r="66" spans="15:25" x14ac:dyDescent="0.2">
      <c r="O66" s="62" t="str">
        <v>9/24 16:43</v>
      </c>
      <c r="P66">
        <v>100</v>
      </c>
      <c r="R66" s="62" t="str">
        <v>9/24 16:43</v>
      </c>
      <c r="S66">
        <v>100</v>
      </c>
      <c r="T66">
        <v>100</v>
      </c>
      <c r="U66">
        <v>100</v>
      </c>
      <c r="V66">
        <v>100</v>
      </c>
      <c r="X66" s="62" t="str">
        <v>9/24 16:43</v>
      </c>
      <c r="Y66">
        <v>0</v>
      </c>
    </row>
    <row r="67" spans="15:25" x14ac:dyDescent="0.2">
      <c r="O67" s="62" t="str">
        <v>9/24 16:48</v>
      </c>
      <c r="P67">
        <v>100</v>
      </c>
      <c r="R67" s="62" t="str">
        <v>9/24 16:48</v>
      </c>
      <c r="S67">
        <v>100</v>
      </c>
      <c r="T67">
        <v>100</v>
      </c>
      <c r="U67">
        <v>100</v>
      </c>
      <c r="V67">
        <v>100</v>
      </c>
      <c r="X67" s="62" t="str">
        <v>9/24 16:48</v>
      </c>
      <c r="Y67">
        <v>0</v>
      </c>
    </row>
    <row r="68" spans="15:25" x14ac:dyDescent="0.2">
      <c r="O68" s="62" t="str">
        <v>9/24 16:53</v>
      </c>
      <c r="P68">
        <v>100</v>
      </c>
      <c r="R68" s="62" t="str">
        <v>9/24 16:53</v>
      </c>
      <c r="S68">
        <v>100</v>
      </c>
      <c r="T68">
        <v>100</v>
      </c>
      <c r="U68">
        <v>100</v>
      </c>
      <c r="V68">
        <v>100</v>
      </c>
      <c r="X68" s="62" t="str">
        <v>9/24 16:53</v>
      </c>
      <c r="Y68">
        <v>0</v>
      </c>
    </row>
    <row r="69" spans="15:25" x14ac:dyDescent="0.2">
      <c r="O69" s="62" t="str">
        <v>9/24 16:58</v>
      </c>
      <c r="P69">
        <v>100</v>
      </c>
      <c r="R69" s="62" t="str">
        <v>9/24 16:58</v>
      </c>
      <c r="S69">
        <v>100</v>
      </c>
      <c r="T69">
        <v>100</v>
      </c>
      <c r="U69">
        <v>100</v>
      </c>
      <c r="V69">
        <v>100</v>
      </c>
      <c r="X69" s="62" t="str">
        <v>9/24 16:58</v>
      </c>
      <c r="Y69">
        <v>0</v>
      </c>
    </row>
    <row r="70" spans="15:25" x14ac:dyDescent="0.2">
      <c r="O70" s="62" t="str">
        <v>9/24 17:03</v>
      </c>
      <c r="P70">
        <v>100</v>
      </c>
      <c r="R70" s="62" t="str">
        <v>9/24 17:03</v>
      </c>
      <c r="S70">
        <v>100</v>
      </c>
      <c r="T70">
        <v>100</v>
      </c>
      <c r="U70">
        <v>100</v>
      </c>
      <c r="V70">
        <v>100</v>
      </c>
      <c r="X70" s="62" t="str">
        <v>9/24 17:03</v>
      </c>
      <c r="Y70">
        <v>0</v>
      </c>
    </row>
    <row r="71" spans="15:25" x14ac:dyDescent="0.2">
      <c r="O71" s="62" t="str">
        <v>9/24 17:08</v>
      </c>
      <c r="P71">
        <v>100</v>
      </c>
      <c r="R71" s="62" t="str">
        <v>9/24 17:08</v>
      </c>
      <c r="S71">
        <v>100</v>
      </c>
      <c r="T71">
        <v>100</v>
      </c>
      <c r="U71">
        <v>100</v>
      </c>
      <c r="V71">
        <v>100</v>
      </c>
      <c r="X71" s="62" t="str">
        <v>9/24 17:08</v>
      </c>
      <c r="Y71">
        <v>0</v>
      </c>
    </row>
    <row r="72" spans="15:25" x14ac:dyDescent="0.2">
      <c r="O72" s="62" t="str">
        <v>9/24 17:13</v>
      </c>
      <c r="P72">
        <v>93.75</v>
      </c>
      <c r="R72" s="62" t="str">
        <v>9/24 17:13</v>
      </c>
      <c r="S72">
        <v>100</v>
      </c>
      <c r="T72">
        <v>75</v>
      </c>
      <c r="U72">
        <v>100</v>
      </c>
      <c r="V72">
        <v>100</v>
      </c>
      <c r="X72" s="62" t="str">
        <v>9/24 17:13</v>
      </c>
      <c r="Y72">
        <v>1</v>
      </c>
    </row>
    <row r="73" spans="15:25" x14ac:dyDescent="0.2">
      <c r="O73" s="62" t="str">
        <v>9/24 17:18</v>
      </c>
      <c r="P73">
        <v>93.75</v>
      </c>
      <c r="R73" s="62" t="str">
        <v>9/24 17:18</v>
      </c>
      <c r="S73">
        <v>100</v>
      </c>
      <c r="T73">
        <v>75</v>
      </c>
      <c r="U73">
        <v>100</v>
      </c>
      <c r="V73">
        <v>100</v>
      </c>
      <c r="X73" s="62" t="str">
        <v>9/24 17:18</v>
      </c>
      <c r="Y73">
        <v>1</v>
      </c>
    </row>
    <row r="74" spans="15:25" x14ac:dyDescent="0.2">
      <c r="O74" s="62" t="str">
        <v>9/24 17:23</v>
      </c>
      <c r="P74">
        <v>93.75</v>
      </c>
      <c r="R74" s="62" t="str">
        <v>9/24 17:23</v>
      </c>
      <c r="S74">
        <v>100</v>
      </c>
      <c r="T74">
        <v>75</v>
      </c>
      <c r="U74">
        <v>100</v>
      </c>
      <c r="V74">
        <v>100</v>
      </c>
      <c r="X74" s="62" t="str">
        <v>9/24 17:23</v>
      </c>
      <c r="Y74">
        <v>1</v>
      </c>
    </row>
    <row r="75" spans="15:25" x14ac:dyDescent="0.2">
      <c r="O75" s="62" t="str">
        <v>9/24 17:28</v>
      </c>
      <c r="P75">
        <v>93.75</v>
      </c>
      <c r="R75" s="62" t="str">
        <v>9/24 17:28</v>
      </c>
      <c r="S75">
        <v>100</v>
      </c>
      <c r="T75">
        <v>75</v>
      </c>
      <c r="U75">
        <v>100</v>
      </c>
      <c r="V75">
        <v>100</v>
      </c>
      <c r="X75" s="62" t="str">
        <v>9/24 17:28</v>
      </c>
      <c r="Y75">
        <v>1</v>
      </c>
    </row>
    <row r="76" spans="15:25" x14ac:dyDescent="0.2">
      <c r="O76" s="62" t="str">
        <v>9/24 17:33</v>
      </c>
      <c r="P76">
        <v>93.75</v>
      </c>
      <c r="R76" s="62" t="str">
        <v>9/24 17:33</v>
      </c>
      <c r="S76">
        <v>100</v>
      </c>
      <c r="T76">
        <v>75</v>
      </c>
      <c r="U76">
        <v>100</v>
      </c>
      <c r="V76">
        <v>100</v>
      </c>
      <c r="X76" s="62" t="str">
        <v>9/24 17:33</v>
      </c>
      <c r="Y76">
        <v>1</v>
      </c>
    </row>
    <row r="77" spans="15:25" x14ac:dyDescent="0.2">
      <c r="O77" s="62" t="str">
        <v>9/24 17:39</v>
      </c>
      <c r="P77">
        <v>93.75</v>
      </c>
      <c r="R77" s="62" t="str">
        <v>9/24 17:39</v>
      </c>
      <c r="S77">
        <v>100</v>
      </c>
      <c r="T77">
        <v>75</v>
      </c>
      <c r="U77">
        <v>100</v>
      </c>
      <c r="V77">
        <v>100</v>
      </c>
      <c r="X77" s="62" t="str">
        <v>9/24 17:39</v>
      </c>
      <c r="Y77">
        <v>1</v>
      </c>
    </row>
    <row r="78" spans="15:25" x14ac:dyDescent="0.2">
      <c r="O78" s="62"/>
      <c r="R78" s="62"/>
      <c r="X78" s="62"/>
    </row>
  </sheetData>
  <mergeCells count="1">
    <mergeCell ref="A3:N3"/>
  </mergeCells>
  <conditionalFormatting sqref="B5:B10">
    <cfRule type="expression" dxfId="26" priority="1">
      <formula>B5&gt;=95</formula>
    </cfRule>
  </conditionalFormatting>
  <conditionalFormatting sqref="B5:B10">
    <cfRule type="expression" dxfId="25" priority="2">
      <formula>AND(B5&gt;=90,B5&lt;95)</formula>
    </cfRule>
  </conditionalFormatting>
  <conditionalFormatting sqref="B5:B10">
    <cfRule type="expression" dxfId="24" priority="3">
      <formula>AND(B5&gt;=80,B5&lt;90)</formula>
    </cfRule>
  </conditionalFormatting>
  <conditionalFormatting sqref="B5:B10">
    <cfRule type="expression" dxfId="23" priority="4">
      <formula>AND(ISNUMBER(B5),B5&lt;80)</formula>
    </cfRule>
  </conditionalFormatting>
  <conditionalFormatting sqref="B11:B14">
    <cfRule type="expression" dxfId="22" priority="5">
      <formula>B11&gt;0</formula>
    </cfRule>
  </conditionalFormatting>
  <conditionalFormatting sqref="B12">
    <cfRule type="expression" dxfId="21" priority="6">
      <formula>B12&gt;0</formula>
    </cfRule>
  </conditionalFormatting>
  <conditionalFormatting sqref="B13">
    <cfRule type="expression" dxfId="20" priority="7">
      <formula>B13&gt;0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F478-E01F-B849-94D9-3B92EF0CF6FB}">
  <dimension ref="A1:U1000"/>
  <sheetViews>
    <sheetView showGridLines="0" topLeftCell="C1" workbookViewId="0">
      <pane ySplit="5" topLeftCell="A6" activePane="bottomLeft" state="frozen"/>
      <selection pane="bottomLeft"/>
    </sheetView>
  </sheetViews>
  <sheetFormatPr baseColWidth="10" defaultRowHeight="16" x14ac:dyDescent="0.2"/>
  <cols>
    <col min="1" max="1" width="15" style="3" customWidth="1"/>
    <col min="2" max="2" width="12.5" style="3" customWidth="1"/>
    <col min="3" max="3" width="28.33203125" style="3" customWidth="1"/>
    <col min="4" max="5" width="19.1640625" style="3" customWidth="1"/>
    <col min="6" max="8" width="21.6640625" style="3" customWidth="1"/>
    <col min="9" max="9" width="16.6640625" style="3" customWidth="1"/>
    <col min="10" max="11" width="18.33203125" style="3" customWidth="1"/>
    <col min="12" max="12" width="43.33203125" style="3" customWidth="1"/>
    <col min="13" max="14" width="15" style="3" customWidth="1"/>
    <col min="15" max="15" width="4.1640625" style="3" customWidth="1"/>
    <col min="16" max="21" width="17.5" style="3" customWidth="1"/>
  </cols>
  <sheetData>
    <row r="1" spans="1:21" ht="24" x14ac:dyDescent="0.3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1" x14ac:dyDescent="0.2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1" s="25" customFormat="1" ht="30" customHeight="1" x14ac:dyDescent="0.25">
      <c r="A3" s="33" t="s">
        <v>146</v>
      </c>
      <c r="B3" s="34">
        <f>COUNTIF(incidents[status],"OPEN")</f>
        <v>1</v>
      </c>
      <c r="C3" s="33" t="s">
        <v>66</v>
      </c>
      <c r="D3" s="34">
        <f>COUNTIFS(incidents[status],"OPEN",incidents[severity],"CRITICAL")</f>
        <v>0</v>
      </c>
      <c r="E3" s="33" t="s">
        <v>132</v>
      </c>
      <c r="F3" s="34">
        <f>COUNTIFS(incidents[status],"OPEN",incidents[severity],"HIGH")</f>
        <v>1</v>
      </c>
      <c r="G3" s="33" t="s">
        <v>133</v>
      </c>
      <c r="H3" s="35">
        <f>COUNTIFS(incidents[status],"OPEN",incidents[severity],"MEDIUM")</f>
        <v>0</v>
      </c>
      <c r="I3" s="39" t="s">
        <v>147</v>
      </c>
      <c r="J3" s="38"/>
      <c r="K3" s="38"/>
      <c r="L3" s="38"/>
      <c r="M3" s="38"/>
      <c r="N3" s="38"/>
      <c r="O3" s="18"/>
      <c r="P3" s="18"/>
      <c r="Q3" s="18"/>
      <c r="R3" s="18"/>
      <c r="S3" s="18"/>
      <c r="T3" s="18"/>
      <c r="U3" s="18"/>
    </row>
    <row r="4" spans="1:21" x14ac:dyDescent="0.2">
      <c r="A4" s="5" t="s">
        <v>80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</row>
    <row r="5" spans="1:21" s="30" customFormat="1" ht="42" customHeight="1" thickBot="1" x14ac:dyDescent="0.25">
      <c r="A5" s="27" t="s">
        <v>26</v>
      </c>
      <c r="B5" s="27" t="s">
        <v>27</v>
      </c>
      <c r="C5" s="27" t="s">
        <v>28</v>
      </c>
      <c r="D5" s="27" t="s">
        <v>29</v>
      </c>
      <c r="E5" s="27" t="s">
        <v>65</v>
      </c>
      <c r="F5" s="27" t="s">
        <v>394</v>
      </c>
      <c r="G5" s="27" t="s">
        <v>403</v>
      </c>
      <c r="H5" s="27" t="s">
        <v>404</v>
      </c>
      <c r="I5" s="27" t="s">
        <v>81</v>
      </c>
      <c r="J5" s="27" t="s">
        <v>82</v>
      </c>
      <c r="K5" s="27" t="s">
        <v>83</v>
      </c>
      <c r="L5" s="27" t="s">
        <v>30</v>
      </c>
      <c r="M5" s="27" t="s">
        <v>405</v>
      </c>
      <c r="N5" s="27" t="s">
        <v>406</v>
      </c>
      <c r="O5" s="28"/>
      <c r="P5" s="36"/>
      <c r="Q5" s="36"/>
      <c r="R5" s="36"/>
      <c r="S5" s="36"/>
      <c r="T5" s="36"/>
      <c r="U5" s="36"/>
    </row>
    <row r="6" spans="1:21" x14ac:dyDescent="0.2">
      <c r="A6" s="3" t="str" cm="1">
        <f t="array" ref="A6:N6">_xlfn.LET(_xlpm.f,_xlfn._xlws.FILTER(_xlfn.HSTACK(incidents[severity],incidents[symbol],incidents[name],incidents[issue_type],incidents[status],incidents[first_seen_utc],incidents[last_seen_utc],incidents[resolved_at_utc],incidents[occurrence_count],incidents[observed_value],incidents[threshold_value],incidents[details],_xlfn.XMATCH(incidents[severity],{"CRITICAL","HIGH","MEDIUM"}),incidents[last_run_id]),incidents[status]="OPEN"),_xlfn.SORTBY(_xlpm.f,_xlfn.CHOOSECOLS(_xlpm.f,13),1,_xlfn.CHOOSECOLS(_xlpm.f,6),1,_xlfn.CHOOSECOLS(_xlpm.f,9),-1))</f>
        <v>HIGH</v>
      </c>
      <c r="B6" s="3" t="str">
        <v>GC=F</v>
      </c>
      <c r="C6" s="3" t="str">
        <v>Gold Futures</v>
      </c>
      <c r="D6" s="3" t="str">
        <v>STALE</v>
      </c>
      <c r="E6" s="3" t="str">
        <v>OPEN</v>
      </c>
      <c r="F6" s="14">
        <v>46289.717732650461</v>
      </c>
      <c r="G6" s="14">
        <v>46289.735422812497</v>
      </c>
      <c r="H6" s="57">
        <v>0</v>
      </c>
      <c r="I6" s="50">
        <v>6</v>
      </c>
      <c r="J6" s="42">
        <v>44.008856533333329</v>
      </c>
      <c r="K6" s="42">
        <v>15</v>
      </c>
      <c r="L6" s="3" t="str">
        <v>Market data age=44.00885653333333 min; threshold=15.0 min.</v>
      </c>
      <c r="M6" s="3">
        <v>2</v>
      </c>
      <c r="N6" s="3" t="str">
        <v>c87d6d85b58d42a3adbe2ba9e687212e</v>
      </c>
      <c r="P6" s="10"/>
      <c r="Q6" s="10"/>
      <c r="R6" s="10"/>
      <c r="S6" s="10"/>
      <c r="T6" s="10"/>
      <c r="U6" s="10"/>
    </row>
    <row r="7" spans="1:21" x14ac:dyDescent="0.2">
      <c r="F7" s="14"/>
      <c r="G7" s="14"/>
      <c r="H7" s="57"/>
      <c r="I7" s="50"/>
      <c r="J7" s="42"/>
      <c r="K7" s="42"/>
      <c r="P7" s="10"/>
      <c r="Q7" s="10"/>
      <c r="R7" s="10"/>
      <c r="S7" s="10"/>
      <c r="T7" s="10"/>
      <c r="U7" s="10"/>
    </row>
    <row r="8" spans="1:21" x14ac:dyDescent="0.2">
      <c r="F8" s="14"/>
      <c r="G8" s="14"/>
      <c r="H8" s="57"/>
      <c r="I8" s="50"/>
      <c r="J8" s="42"/>
      <c r="K8" s="42"/>
      <c r="P8" s="10"/>
      <c r="Q8" s="10"/>
      <c r="R8" s="10"/>
      <c r="S8" s="10"/>
      <c r="T8" s="10"/>
      <c r="U8" s="10"/>
    </row>
    <row r="9" spans="1:21" x14ac:dyDescent="0.2">
      <c r="F9" s="14"/>
      <c r="G9" s="14"/>
      <c r="H9" s="57"/>
      <c r="I9" s="50"/>
      <c r="J9" s="42"/>
      <c r="K9" s="42"/>
      <c r="P9" s="10"/>
      <c r="Q9" s="10"/>
      <c r="R9" s="10"/>
      <c r="S9" s="10"/>
      <c r="T9" s="10"/>
      <c r="U9" s="10"/>
    </row>
    <row r="10" spans="1:21" x14ac:dyDescent="0.2">
      <c r="F10" s="14"/>
      <c r="G10" s="14"/>
      <c r="H10" s="57"/>
      <c r="I10" s="50"/>
      <c r="J10" s="42"/>
      <c r="K10" s="42"/>
      <c r="P10" s="10"/>
      <c r="Q10" s="10"/>
      <c r="R10" s="10"/>
      <c r="S10" s="10"/>
      <c r="T10" s="10"/>
      <c r="U10" s="10"/>
    </row>
    <row r="11" spans="1:21" x14ac:dyDescent="0.2">
      <c r="F11" s="14"/>
      <c r="G11" s="14"/>
      <c r="H11" s="57"/>
      <c r="I11" s="50"/>
      <c r="J11" s="42"/>
      <c r="K11" s="42"/>
      <c r="P11" s="10"/>
      <c r="Q11" s="10"/>
      <c r="R11" s="10"/>
      <c r="S11" s="10"/>
      <c r="T11" s="10"/>
      <c r="U11" s="10"/>
    </row>
    <row r="12" spans="1:21" x14ac:dyDescent="0.2">
      <c r="F12" s="14"/>
      <c r="G12" s="14"/>
      <c r="H12" s="57"/>
      <c r="I12" s="50"/>
      <c r="J12" s="42"/>
      <c r="K12" s="42"/>
      <c r="P12" s="10"/>
      <c r="Q12" s="10"/>
      <c r="R12" s="10"/>
      <c r="S12" s="10"/>
      <c r="T12" s="10"/>
      <c r="U12" s="10"/>
    </row>
    <row r="13" spans="1:21" x14ac:dyDescent="0.2">
      <c r="F13" s="14"/>
      <c r="G13" s="14"/>
      <c r="H13" s="57"/>
      <c r="I13" s="50"/>
      <c r="J13" s="42"/>
      <c r="K13" s="42"/>
      <c r="P13" s="10"/>
      <c r="Q13" s="10"/>
      <c r="R13" s="10"/>
      <c r="S13" s="10"/>
      <c r="T13" s="10"/>
      <c r="U13" s="10"/>
    </row>
    <row r="14" spans="1:21" x14ac:dyDescent="0.2">
      <c r="F14" s="14"/>
      <c r="G14" s="14"/>
      <c r="H14" s="57"/>
      <c r="I14" s="50"/>
      <c r="J14" s="42"/>
      <c r="K14" s="42"/>
      <c r="P14" s="10"/>
      <c r="Q14" s="10"/>
      <c r="R14" s="10"/>
      <c r="S14" s="10"/>
      <c r="T14" s="10"/>
      <c r="U14" s="10"/>
    </row>
    <row r="15" spans="1:21" x14ac:dyDescent="0.2">
      <c r="F15" s="14"/>
      <c r="G15" s="14"/>
      <c r="H15" s="57"/>
      <c r="I15" s="50"/>
      <c r="J15" s="42"/>
      <c r="K15" s="42"/>
      <c r="P15" s="10"/>
      <c r="Q15" s="10"/>
      <c r="R15" s="10"/>
      <c r="S15" s="10"/>
      <c r="T15" s="10"/>
      <c r="U15" s="10"/>
    </row>
    <row r="16" spans="1:21" x14ac:dyDescent="0.2">
      <c r="F16" s="14"/>
      <c r="G16" s="14"/>
      <c r="H16" s="57"/>
      <c r="I16" s="50"/>
      <c r="J16" s="42"/>
      <c r="K16" s="42"/>
    </row>
    <row r="17" spans="1:21" x14ac:dyDescent="0.2">
      <c r="F17" s="14"/>
      <c r="G17" s="14"/>
      <c r="H17" s="57"/>
      <c r="I17" s="50"/>
      <c r="J17" s="42"/>
      <c r="K17" s="42"/>
      <c r="P17" s="3" t="s">
        <v>29</v>
      </c>
      <c r="Q17" s="3" t="s">
        <v>386</v>
      </c>
    </row>
    <row r="18" spans="1:21" x14ac:dyDescent="0.2">
      <c r="F18" s="14"/>
      <c r="G18" s="14"/>
      <c r="H18" s="57"/>
      <c r="I18" s="50"/>
      <c r="J18" s="42"/>
      <c r="K18" s="42"/>
      <c r="P18" s="3" t="str" cm="1">
        <f t="array" ref="P18:Q18">_xlfn.LET(_xlpm.u,_xlfn.UNIQUE(_xlfn._xlws.FILTER(incidents[issue_type],incidents[status]="OPEN")),_xlfn.HSTACK(_xlpm.u,COUNTIFS(incidents[status],"OPEN",incidents[issue_type],_xlpm.u)))</f>
        <v>STALE</v>
      </c>
      <c r="Q18" s="3">
        <v>1</v>
      </c>
    </row>
    <row r="19" spans="1:21" x14ac:dyDescent="0.2">
      <c r="F19" s="14"/>
      <c r="G19" s="14"/>
      <c r="H19" s="57"/>
      <c r="I19" s="50"/>
      <c r="J19" s="42"/>
      <c r="K19" s="42"/>
    </row>
    <row r="20" spans="1:21" x14ac:dyDescent="0.2">
      <c r="A20" s="5"/>
      <c r="B20" s="5"/>
      <c r="C20" s="5"/>
      <c r="D20" s="5"/>
      <c r="E20" s="5"/>
      <c r="F20" s="15"/>
      <c r="G20" s="15"/>
      <c r="H20" s="57"/>
      <c r="I20" s="51"/>
      <c r="J20" s="53"/>
      <c r="K20" s="53"/>
      <c r="L20" s="5"/>
      <c r="M20" s="5"/>
      <c r="N20" s="5"/>
    </row>
    <row r="21" spans="1:21" s="30" customFormat="1" ht="42" customHeight="1" thickBot="1" x14ac:dyDescent="0.25">
      <c r="A21" s="27"/>
      <c r="B21" s="27"/>
      <c r="C21" s="27"/>
      <c r="D21" s="27"/>
      <c r="E21" s="27"/>
      <c r="F21" s="37"/>
      <c r="G21" s="37"/>
      <c r="H21" s="58"/>
      <c r="I21" s="52"/>
      <c r="J21" s="54"/>
      <c r="K21" s="54"/>
      <c r="L21" s="27"/>
      <c r="M21" s="27"/>
      <c r="N21" s="27"/>
      <c r="O21" s="28"/>
      <c r="P21" s="28"/>
      <c r="Q21" s="28"/>
      <c r="R21" s="28"/>
      <c r="S21" s="28"/>
      <c r="T21" s="28"/>
      <c r="U21" s="28"/>
    </row>
    <row r="22" spans="1:21" x14ac:dyDescent="0.2">
      <c r="F22" s="14"/>
      <c r="G22" s="14"/>
      <c r="H22" s="57"/>
      <c r="I22" s="50"/>
      <c r="J22" s="42"/>
      <c r="K22" s="42"/>
    </row>
    <row r="23" spans="1:21" x14ac:dyDescent="0.2">
      <c r="F23" s="14"/>
      <c r="G23" s="14"/>
      <c r="H23" s="57"/>
      <c r="I23" s="50"/>
      <c r="J23" s="42"/>
      <c r="K23" s="42"/>
    </row>
    <row r="24" spans="1:21" x14ac:dyDescent="0.2">
      <c r="F24" s="14"/>
      <c r="G24" s="14"/>
      <c r="H24" s="57"/>
      <c r="I24" s="50"/>
      <c r="J24" s="42"/>
      <c r="K24" s="42"/>
    </row>
    <row r="25" spans="1:21" x14ac:dyDescent="0.2">
      <c r="F25" s="14"/>
      <c r="G25" s="14"/>
      <c r="H25" s="57"/>
      <c r="I25" s="50"/>
      <c r="J25" s="42"/>
      <c r="K25" s="42"/>
    </row>
    <row r="26" spans="1:21" x14ac:dyDescent="0.2">
      <c r="F26" s="14"/>
      <c r="G26" s="14"/>
      <c r="H26" s="57"/>
      <c r="I26" s="50"/>
      <c r="J26" s="42"/>
      <c r="K26" s="42"/>
    </row>
    <row r="27" spans="1:21" x14ac:dyDescent="0.2">
      <c r="F27" s="14"/>
      <c r="G27" s="14"/>
      <c r="H27" s="57"/>
      <c r="I27" s="50"/>
      <c r="J27" s="42"/>
      <c r="K27" s="42"/>
    </row>
    <row r="28" spans="1:21" x14ac:dyDescent="0.2">
      <c r="F28" s="14"/>
      <c r="G28" s="14"/>
      <c r="H28" s="57"/>
      <c r="I28" s="50"/>
      <c r="J28" s="42"/>
      <c r="K28" s="42"/>
    </row>
    <row r="29" spans="1:21" x14ac:dyDescent="0.2">
      <c r="F29" s="14"/>
      <c r="G29" s="14"/>
      <c r="H29" s="57"/>
      <c r="I29" s="50"/>
      <c r="J29" s="42"/>
      <c r="K29" s="42"/>
    </row>
    <row r="30" spans="1:21" x14ac:dyDescent="0.2">
      <c r="F30" s="14"/>
      <c r="G30" s="14"/>
      <c r="H30" s="57"/>
      <c r="I30" s="50"/>
      <c r="J30" s="42"/>
      <c r="K30" s="42"/>
    </row>
    <row r="31" spans="1:21" x14ac:dyDescent="0.2">
      <c r="F31" s="14"/>
      <c r="G31" s="14"/>
      <c r="H31" s="57"/>
      <c r="I31" s="50"/>
      <c r="J31" s="42"/>
      <c r="K31" s="42"/>
    </row>
    <row r="32" spans="1:21" x14ac:dyDescent="0.2">
      <c r="F32" s="14"/>
      <c r="G32" s="14"/>
      <c r="H32" s="57"/>
      <c r="I32" s="50"/>
      <c r="J32" s="42"/>
      <c r="K32" s="42"/>
    </row>
    <row r="33" spans="6:11" x14ac:dyDescent="0.2">
      <c r="F33" s="14"/>
      <c r="G33" s="14"/>
      <c r="H33" s="57"/>
      <c r="I33" s="50"/>
      <c r="J33" s="42"/>
      <c r="K33" s="42"/>
    </row>
    <row r="34" spans="6:11" x14ac:dyDescent="0.2">
      <c r="F34" s="14"/>
      <c r="G34" s="14"/>
      <c r="H34" s="57"/>
      <c r="I34" s="50"/>
      <c r="J34" s="42"/>
      <c r="K34" s="42"/>
    </row>
    <row r="35" spans="6:11" x14ac:dyDescent="0.2">
      <c r="F35" s="14"/>
      <c r="G35" s="14"/>
      <c r="H35" s="57"/>
      <c r="I35" s="50"/>
      <c r="J35" s="42"/>
      <c r="K35" s="42"/>
    </row>
    <row r="36" spans="6:11" x14ac:dyDescent="0.2">
      <c r="F36" s="14"/>
      <c r="G36" s="14"/>
      <c r="H36" s="57"/>
      <c r="I36" s="50"/>
      <c r="J36" s="42"/>
      <c r="K36" s="42"/>
    </row>
    <row r="37" spans="6:11" x14ac:dyDescent="0.2">
      <c r="F37" s="14"/>
      <c r="G37" s="14"/>
      <c r="H37" s="57"/>
      <c r="I37" s="50"/>
      <c r="J37" s="42"/>
      <c r="K37" s="42"/>
    </row>
    <row r="38" spans="6:11" x14ac:dyDescent="0.2">
      <c r="F38" s="14"/>
      <c r="G38" s="14"/>
      <c r="H38" s="57"/>
      <c r="I38" s="50"/>
      <c r="J38" s="42"/>
      <c r="K38" s="42"/>
    </row>
    <row r="39" spans="6:11" x14ac:dyDescent="0.2">
      <c r="F39" s="14"/>
      <c r="G39" s="14"/>
      <c r="H39" s="57"/>
      <c r="I39" s="50"/>
      <c r="J39" s="42"/>
      <c r="K39" s="42"/>
    </row>
    <row r="40" spans="6:11" x14ac:dyDescent="0.2">
      <c r="F40" s="14"/>
      <c r="G40" s="14"/>
      <c r="H40" s="57"/>
      <c r="I40" s="50"/>
      <c r="J40" s="42"/>
      <c r="K40" s="42"/>
    </row>
    <row r="41" spans="6:11" x14ac:dyDescent="0.2">
      <c r="F41" s="14"/>
      <c r="G41" s="14"/>
      <c r="H41" s="57"/>
      <c r="I41" s="50"/>
      <c r="J41" s="42"/>
      <c r="K41" s="42"/>
    </row>
    <row r="42" spans="6:11" x14ac:dyDescent="0.2">
      <c r="F42" s="14"/>
      <c r="G42" s="14"/>
      <c r="H42" s="57"/>
      <c r="I42" s="50"/>
      <c r="J42" s="42"/>
      <c r="K42" s="42"/>
    </row>
    <row r="43" spans="6:11" x14ac:dyDescent="0.2">
      <c r="F43" s="14"/>
      <c r="G43" s="14"/>
      <c r="H43" s="57"/>
      <c r="I43" s="50"/>
      <c r="J43" s="42"/>
      <c r="K43" s="42"/>
    </row>
    <row r="44" spans="6:11" x14ac:dyDescent="0.2">
      <c r="F44" s="14"/>
      <c r="G44" s="14"/>
      <c r="H44" s="57"/>
      <c r="I44" s="50"/>
      <c r="J44" s="42"/>
      <c r="K44" s="42"/>
    </row>
    <row r="45" spans="6:11" x14ac:dyDescent="0.2">
      <c r="F45" s="14"/>
      <c r="G45" s="14"/>
      <c r="H45" s="57"/>
      <c r="I45" s="50"/>
      <c r="J45" s="42"/>
      <c r="K45" s="42"/>
    </row>
    <row r="46" spans="6:11" x14ac:dyDescent="0.2">
      <c r="F46" s="14"/>
      <c r="G46" s="14"/>
      <c r="H46" s="57"/>
      <c r="I46" s="50"/>
      <c r="J46" s="42"/>
      <c r="K46" s="42"/>
    </row>
    <row r="47" spans="6:11" x14ac:dyDescent="0.2">
      <c r="F47" s="14"/>
      <c r="G47" s="14"/>
      <c r="H47" s="57"/>
      <c r="I47" s="50"/>
      <c r="J47" s="42"/>
      <c r="K47" s="42"/>
    </row>
    <row r="48" spans="6:11" x14ac:dyDescent="0.2">
      <c r="F48" s="14"/>
      <c r="G48" s="14"/>
      <c r="H48" s="57"/>
      <c r="I48" s="50"/>
      <c r="J48" s="42"/>
      <c r="K48" s="42"/>
    </row>
    <row r="49" spans="1:14" x14ac:dyDescent="0.2">
      <c r="F49" s="14"/>
      <c r="G49" s="14"/>
      <c r="H49" s="57"/>
      <c r="I49" s="50"/>
      <c r="J49" s="42"/>
      <c r="K49" s="42"/>
    </row>
    <row r="50" spans="1:14" x14ac:dyDescent="0.2">
      <c r="F50" s="14"/>
      <c r="G50" s="14"/>
      <c r="H50" s="57"/>
      <c r="I50" s="50"/>
      <c r="J50" s="42"/>
      <c r="K50" s="42"/>
    </row>
    <row r="51" spans="1:14" x14ac:dyDescent="0.2">
      <c r="F51" s="14"/>
      <c r="G51" s="14"/>
      <c r="H51" s="57"/>
      <c r="I51" s="50"/>
      <c r="J51" s="42"/>
      <c r="K51" s="42"/>
    </row>
    <row r="52" spans="1:14" x14ac:dyDescent="0.2">
      <c r="F52" s="14"/>
      <c r="G52" s="14"/>
      <c r="H52" s="57"/>
      <c r="I52" s="50"/>
      <c r="J52" s="42"/>
      <c r="K52" s="42"/>
    </row>
    <row r="53" spans="1:14" x14ac:dyDescent="0.2">
      <c r="F53" s="14"/>
      <c r="G53" s="14"/>
      <c r="H53" s="57"/>
      <c r="I53" s="50"/>
      <c r="J53" s="42"/>
      <c r="K53" s="42"/>
    </row>
    <row r="54" spans="1:14" x14ac:dyDescent="0.2">
      <c r="F54" s="14"/>
      <c r="G54" s="14"/>
      <c r="H54" s="57"/>
      <c r="I54" s="50"/>
      <c r="J54" s="42"/>
      <c r="K54" s="42"/>
    </row>
    <row r="55" spans="1:14" x14ac:dyDescent="0.2">
      <c r="F55" s="14"/>
      <c r="G55" s="14"/>
      <c r="H55" s="57"/>
      <c r="I55" s="50"/>
      <c r="J55" s="42"/>
      <c r="K55" s="42"/>
    </row>
    <row r="56" spans="1:14" x14ac:dyDescent="0.2">
      <c r="F56" s="14"/>
      <c r="G56" s="14"/>
      <c r="H56" s="14"/>
      <c r="I56" s="16"/>
    </row>
    <row r="57" spans="1:14" x14ac:dyDescent="0.2">
      <c r="F57" s="14"/>
      <c r="G57" s="14"/>
      <c r="H57" s="14"/>
      <c r="I57" s="16"/>
    </row>
    <row r="58" spans="1:14" x14ac:dyDescent="0.2">
      <c r="A58" s="5" t="s">
        <v>84</v>
      </c>
      <c r="B58" s="5"/>
      <c r="C58" s="5"/>
      <c r="D58" s="5"/>
      <c r="E58" s="5"/>
      <c r="F58" s="15"/>
      <c r="G58" s="15"/>
      <c r="H58" s="15"/>
      <c r="I58" s="17"/>
      <c r="J58" s="5"/>
      <c r="K58" s="5"/>
      <c r="L58" s="5"/>
      <c r="M58" s="5"/>
      <c r="N58" s="5"/>
    </row>
    <row r="59" spans="1:14" ht="34" x14ac:dyDescent="0.2">
      <c r="A59" s="26" t="s">
        <v>26</v>
      </c>
      <c r="B59" s="26" t="s">
        <v>27</v>
      </c>
      <c r="C59" s="26" t="s">
        <v>28</v>
      </c>
      <c r="D59" s="26" t="s">
        <v>29</v>
      </c>
      <c r="E59" s="26" t="s">
        <v>65</v>
      </c>
      <c r="F59" s="55" t="s">
        <v>394</v>
      </c>
      <c r="G59" s="55" t="s">
        <v>403</v>
      </c>
      <c r="H59" s="55" t="s">
        <v>404</v>
      </c>
      <c r="I59" s="56" t="s">
        <v>81</v>
      </c>
      <c r="J59" s="26" t="s">
        <v>82</v>
      </c>
      <c r="K59" s="26" t="s">
        <v>83</v>
      </c>
      <c r="L59" s="26" t="s">
        <v>30</v>
      </c>
      <c r="M59" s="26" t="s">
        <v>405</v>
      </c>
      <c r="N59" s="26" t="s">
        <v>406</v>
      </c>
    </row>
    <row r="60" spans="1:14" x14ac:dyDescent="0.2">
      <c r="A60" s="3" t="str" cm="1">
        <f t="array" ref="A60:N75">_xlfn.LET(_xlpm.f,_xlfn._xlws.FILTER(_xlfn.HSTACK(incidents[severity],incidents[symbol],incidents[name],incidents[issue_type],incidents[status],incidents[first_seen_utc],incidents[last_seen_utc],incidents[resolved_at_utc],incidents[occurrence_count],incidents[observed_value],incidents[threshold_value],incidents[details],_xlfn.XMATCH(incidents[severity],{"CRITICAL","HIGH","MEDIUM"}),incidents[last_run_id]),incidents[status]&lt;&gt;"OPEN"),_xlfn.SORTBY(_xlpm.f,_xlfn.CHOOSECOLS(_xlpm.f,8),-1,_xlfn.CHOOSECOLS(_xlpm.f,13),1))</f>
        <v>HIGH</v>
      </c>
      <c r="B60" s="3" t="str">
        <v>^VIX</v>
      </c>
      <c r="C60" s="3" t="str">
        <v>CBOE Volatility Index</v>
      </c>
      <c r="D60" s="3" t="str">
        <v>STALE</v>
      </c>
      <c r="E60" s="3" t="str">
        <v>RESOLVED</v>
      </c>
      <c r="F60" s="14">
        <v>46289.418100150462</v>
      </c>
      <c r="G60" s="14">
        <v>46289.609955983797</v>
      </c>
      <c r="H60" s="14">
        <v>46289.668897222225</v>
      </c>
      <c r="I60" s="50">
        <v>45</v>
      </c>
      <c r="J60" s="42">
        <v>18.33662945</v>
      </c>
      <c r="K60" s="42">
        <v>15</v>
      </c>
      <c r="L60" s="3" t="str">
        <v>Market data age=18.33662945 min; threshold=15.0 min.</v>
      </c>
      <c r="M60" s="3">
        <v>2</v>
      </c>
      <c r="N60" s="3" t="str">
        <v>98bde01b42294506a562c8874cf2efb4</v>
      </c>
    </row>
    <row r="61" spans="1:14" x14ac:dyDescent="0.2">
      <c r="A61" s="3" t="str">
        <v>MEDIUM</v>
      </c>
      <c r="B61" s="3" t="str">
        <v>CVX</v>
      </c>
      <c r="C61" s="3" t="str">
        <v>Chevron</v>
      </c>
      <c r="D61" s="3" t="str">
        <v>WIDE_SPREAD</v>
      </c>
      <c r="E61" s="3" t="str">
        <v>RESOLVED</v>
      </c>
      <c r="F61" s="14">
        <v>46289.418100150462</v>
      </c>
      <c r="G61" s="14">
        <v>46289.609955983797</v>
      </c>
      <c r="H61" s="14">
        <v>46289.668897222225</v>
      </c>
      <c r="I61" s="50">
        <v>18</v>
      </c>
      <c r="J61" s="42">
        <v>551.02137094871944</v>
      </c>
      <c r="K61" s="42">
        <v>100</v>
      </c>
      <c r="L61" s="3" t="str">
        <v>Spread=551.02 bps; threshold=100.00 bps.</v>
      </c>
      <c r="M61" s="3">
        <v>3</v>
      </c>
      <c r="N61" s="3" t="str">
        <v>98bde01b42294506a562c8874cf2efb4</v>
      </c>
    </row>
    <row r="62" spans="1:14" x14ac:dyDescent="0.2">
      <c r="A62" s="3" t="str">
        <v>MEDIUM</v>
      </c>
      <c r="B62" s="3" t="str">
        <v>LLY</v>
      </c>
      <c r="C62" s="3" t="str">
        <v>Eli Lilly</v>
      </c>
      <c r="D62" s="3" t="str">
        <v>WIDE_SPREAD</v>
      </c>
      <c r="E62" s="3" t="str">
        <v>RESOLVED</v>
      </c>
      <c r="F62" s="14">
        <v>46289.418100150462</v>
      </c>
      <c r="G62" s="14">
        <v>46289.609955983797</v>
      </c>
      <c r="H62" s="14">
        <v>46289.668897222225</v>
      </c>
      <c r="I62" s="50">
        <v>34</v>
      </c>
      <c r="J62" s="42">
        <v>689.29846037137327</v>
      </c>
      <c r="K62" s="42">
        <v>100</v>
      </c>
      <c r="L62" s="3" t="str">
        <v>Spread=689.30 bps; threshold=100.00 bps.</v>
      </c>
      <c r="M62" s="3">
        <v>3</v>
      </c>
      <c r="N62" s="3" t="str">
        <v>98bde01b42294506a562c8874cf2efb4</v>
      </c>
    </row>
    <row r="63" spans="1:14" x14ac:dyDescent="0.2">
      <c r="A63" s="3" t="str">
        <v>MEDIUM</v>
      </c>
      <c r="B63" s="3" t="str">
        <v>GE</v>
      </c>
      <c r="C63" s="3" t="str">
        <v>GE Aerospace</v>
      </c>
      <c r="D63" s="3" t="str">
        <v>WIDE_SPREAD</v>
      </c>
      <c r="E63" s="3" t="str">
        <v>RESOLVED</v>
      </c>
      <c r="F63" s="14">
        <v>46289.418266215274</v>
      </c>
      <c r="G63" s="14">
        <v>46289.609955983797</v>
      </c>
      <c r="H63" s="14">
        <v>46289.668897222225</v>
      </c>
      <c r="I63" s="50">
        <v>37</v>
      </c>
      <c r="J63" s="42">
        <v>655.21117713184628</v>
      </c>
      <c r="K63" s="42">
        <v>100</v>
      </c>
      <c r="L63" s="3" t="str">
        <v>Spread=655.21 bps; threshold=100.00 bps.</v>
      </c>
      <c r="M63" s="3">
        <v>3</v>
      </c>
      <c r="N63" s="3" t="str">
        <v>98bde01b42294506a562c8874cf2efb4</v>
      </c>
    </row>
    <row r="64" spans="1:14" x14ac:dyDescent="0.2">
      <c r="A64" s="3" t="str">
        <v>MEDIUM</v>
      </c>
      <c r="B64" s="3" t="str">
        <v>CAT</v>
      </c>
      <c r="C64" s="3" t="str">
        <v>Caterpillar</v>
      </c>
      <c r="D64" s="3" t="str">
        <v>WIDE_SPREAD</v>
      </c>
      <c r="E64" s="3" t="str">
        <v>RESOLVED</v>
      </c>
      <c r="F64" s="14">
        <v>46289.521967986111</v>
      </c>
      <c r="G64" s="14">
        <v>46289.609955983797</v>
      </c>
      <c r="H64" s="14">
        <v>46289.668897222225</v>
      </c>
      <c r="I64" s="50">
        <v>19</v>
      </c>
      <c r="J64" s="42">
        <v>360.56188508274687</v>
      </c>
      <c r="K64" s="42">
        <v>100</v>
      </c>
      <c r="L64" s="3" t="str">
        <v>Spread=360.56 bps; threshold=100.00 bps.</v>
      </c>
      <c r="M64" s="3">
        <v>3</v>
      </c>
      <c r="N64" s="3" t="str">
        <v>98bde01b42294506a562c8874cf2efb4</v>
      </c>
    </row>
    <row r="65" spans="1:14" x14ac:dyDescent="0.2">
      <c r="A65" s="3" t="str">
        <v>MEDIUM</v>
      </c>
      <c r="B65" s="3" t="str">
        <v>JPM</v>
      </c>
      <c r="C65" s="3" t="str">
        <v>JPMorgan Chase</v>
      </c>
      <c r="D65" s="3" t="str">
        <v>WIDE_SPREAD</v>
      </c>
      <c r="E65" s="3" t="str">
        <v>RESOLVED</v>
      </c>
      <c r="F65" s="14">
        <v>46289.418100150462</v>
      </c>
      <c r="G65" s="14">
        <v>46289.606437997689</v>
      </c>
      <c r="H65" s="14">
        <v>46289.609955983797</v>
      </c>
      <c r="I65" s="50">
        <v>5</v>
      </c>
      <c r="J65" s="42">
        <v>148.14814814814815</v>
      </c>
      <c r="K65" s="42">
        <v>100</v>
      </c>
      <c r="L65" s="3" t="str">
        <v>Spread=148.15 bps; threshold=100.00 bps.</v>
      </c>
      <c r="M65" s="3">
        <v>3</v>
      </c>
      <c r="N65" s="3" t="str">
        <v>f6f3ab623a874fcbbef09e686d7b3526</v>
      </c>
    </row>
    <row r="66" spans="1:14" x14ac:dyDescent="0.2">
      <c r="A66" s="3" t="str">
        <v>MEDIUM</v>
      </c>
      <c r="B66" s="3" t="str">
        <v>XOM</v>
      </c>
      <c r="C66" s="3" t="str">
        <v>Exxon Mobil</v>
      </c>
      <c r="D66" s="3" t="str">
        <v>WIDE_SPREAD</v>
      </c>
      <c r="E66" s="3" t="str">
        <v>RESOLVED</v>
      </c>
      <c r="F66" s="14">
        <v>46289.428823506947</v>
      </c>
      <c r="G66" s="14">
        <v>46289.606437997689</v>
      </c>
      <c r="H66" s="14">
        <v>46289.609955983797</v>
      </c>
      <c r="I66" s="50">
        <v>11</v>
      </c>
      <c r="J66" s="42">
        <v>455.79542940228083</v>
      </c>
      <c r="K66" s="42">
        <v>100</v>
      </c>
      <c r="L66" s="3" t="str">
        <v>Spread=455.80 bps; threshold=100.00 bps.</v>
      </c>
      <c r="M66" s="3">
        <v>3</v>
      </c>
      <c r="N66" s="3" t="str">
        <v>f6f3ab623a874fcbbef09e686d7b3526</v>
      </c>
    </row>
    <row r="67" spans="1:14" x14ac:dyDescent="0.2">
      <c r="A67" s="3" t="str">
        <v>MEDIUM</v>
      </c>
      <c r="B67" s="3" t="str">
        <v>JNJ</v>
      </c>
      <c r="C67" s="3" t="str">
        <v>Johnson &amp; Johnson</v>
      </c>
      <c r="D67" s="3" t="str">
        <v>WIDE_SPREAD</v>
      </c>
      <c r="E67" s="3" t="str">
        <v>RESOLVED</v>
      </c>
      <c r="F67" s="14">
        <v>46289.418100150462</v>
      </c>
      <c r="G67" s="14">
        <v>46289.595883761576</v>
      </c>
      <c r="H67" s="14">
        <v>46289.599401446758</v>
      </c>
      <c r="I67" s="50">
        <v>29</v>
      </c>
      <c r="J67" s="42">
        <v>541.93355618218789</v>
      </c>
      <c r="K67" s="42">
        <v>100</v>
      </c>
      <c r="L67" s="3" t="str">
        <v>Spread=541.93 bps; threshold=100.00 bps.</v>
      </c>
      <c r="M67" s="3">
        <v>3</v>
      </c>
      <c r="N67" s="3" t="str">
        <v>0f5c6615164e49f098309b7e1ebf1b0b</v>
      </c>
    </row>
    <row r="68" spans="1:14" x14ac:dyDescent="0.2">
      <c r="A68" s="3" t="str">
        <v>MEDIUM</v>
      </c>
      <c r="B68" s="3" t="str">
        <v>COST</v>
      </c>
      <c r="C68" s="3" t="str">
        <v>Costco</v>
      </c>
      <c r="D68" s="3" t="str">
        <v>WIDE_SPREAD</v>
      </c>
      <c r="E68" s="3" t="str">
        <v>RESOLVED</v>
      </c>
      <c r="F68" s="14">
        <v>46289.592365960649</v>
      </c>
      <c r="G68" s="14">
        <v>46289.592365960649</v>
      </c>
      <c r="H68" s="14">
        <v>46289.595883761576</v>
      </c>
      <c r="I68" s="50">
        <v>1</v>
      </c>
      <c r="J68" s="42">
        <v>189.41504178272982</v>
      </c>
      <c r="K68" s="42">
        <v>100</v>
      </c>
      <c r="L68" s="3" t="str">
        <v>Spread=189.42 bps; threshold=100.00 bps.</v>
      </c>
      <c r="M68" s="3">
        <v>3</v>
      </c>
      <c r="N68" s="3" t="str">
        <v>3b8233efcc3041089646ec9e709262e6</v>
      </c>
    </row>
    <row r="69" spans="1:14" x14ac:dyDescent="0.2">
      <c r="A69" s="3" t="str">
        <v>MEDIUM</v>
      </c>
      <c r="B69" s="3" t="str">
        <v>GC=F</v>
      </c>
      <c r="C69" s="3" t="str">
        <v>Gold Futures</v>
      </c>
      <c r="D69" s="3" t="str">
        <v>OUTLIER</v>
      </c>
      <c r="E69" s="3" t="str">
        <v>RESOLVED</v>
      </c>
      <c r="F69" s="14">
        <v>46289.518451655094</v>
      </c>
      <c r="G69" s="14">
        <v>46289.518451655094</v>
      </c>
      <c r="H69" s="14">
        <v>46289.521967986111</v>
      </c>
      <c r="I69" s="50">
        <v>1</v>
      </c>
      <c r="J69" s="42">
        <v>3.2416817522806123</v>
      </c>
      <c r="K69" s="42">
        <v>3</v>
      </c>
      <c r="L69" s="3" t="str">
        <v>20-bar absolute return z-score exceeded 3.0; z=3.2416817522806123.</v>
      </c>
      <c r="M69" s="3">
        <v>3</v>
      </c>
      <c r="N69" s="3" t="str">
        <v>42ac14622e2a44558ef8b8ad6694b674</v>
      </c>
    </row>
    <row r="70" spans="1:14" x14ac:dyDescent="0.2">
      <c r="A70" s="3" t="str">
        <v>MEDIUM</v>
      </c>
      <c r="B70" s="3" t="str">
        <v>CAT</v>
      </c>
      <c r="C70" s="3" t="str">
        <v>Caterpillar</v>
      </c>
      <c r="D70" s="3" t="str">
        <v>OUTLIER</v>
      </c>
      <c r="E70" s="3" t="str">
        <v>RESOLVED</v>
      </c>
      <c r="F70" s="14">
        <v>46289.511411053238</v>
      </c>
      <c r="G70" s="14">
        <v>46289.511411053238</v>
      </c>
      <c r="H70" s="14">
        <v>46289.514935798608</v>
      </c>
      <c r="I70" s="50">
        <v>1</v>
      </c>
      <c r="J70" s="42">
        <v>3.2430299696394727</v>
      </c>
      <c r="K70" s="42">
        <v>3</v>
      </c>
      <c r="L70" s="3" t="str">
        <v>20-bar absolute return z-score exceeded 3.0; z=3.2430299696394727.</v>
      </c>
      <c r="M70" s="3">
        <v>3</v>
      </c>
      <c r="N70" s="3" t="str">
        <v>764624f56e8e444291297385596640e7</v>
      </c>
    </row>
    <row r="71" spans="1:14" x14ac:dyDescent="0.2">
      <c r="A71" s="3" t="str">
        <v>MEDIUM</v>
      </c>
      <c r="B71" s="3" t="str">
        <v>CVX</v>
      </c>
      <c r="C71" s="3" t="str">
        <v>Chevron</v>
      </c>
      <c r="D71" s="3" t="str">
        <v>OUTLIER</v>
      </c>
      <c r="E71" s="3" t="str">
        <v>RESOLVED</v>
      </c>
      <c r="F71" s="14">
        <v>46289.511411053238</v>
      </c>
      <c r="G71" s="14">
        <v>46289.511411053238</v>
      </c>
      <c r="H71" s="14">
        <v>46289.514935798608</v>
      </c>
      <c r="I71" s="50">
        <v>1</v>
      </c>
      <c r="J71" s="42">
        <v>-3.4401399160703434</v>
      </c>
      <c r="K71" s="42">
        <v>3</v>
      </c>
      <c r="L71" s="3" t="str">
        <v>20-bar absolute return z-score exceeded 3.0; z=-3.4401399160703434.</v>
      </c>
      <c r="M71" s="3">
        <v>3</v>
      </c>
      <c r="N71" s="3" t="str">
        <v>764624f56e8e444291297385596640e7</v>
      </c>
    </row>
    <row r="72" spans="1:14" x14ac:dyDescent="0.2">
      <c r="A72" s="3" t="str">
        <v>MEDIUM</v>
      </c>
      <c r="B72" s="3" t="str">
        <v>XOM</v>
      </c>
      <c r="C72" s="3" t="str">
        <v>Exxon Mobil</v>
      </c>
      <c r="D72" s="3" t="str">
        <v>OUTLIER</v>
      </c>
      <c r="E72" s="3" t="str">
        <v>RESOLVED</v>
      </c>
      <c r="F72" s="14">
        <v>46289.511411053238</v>
      </c>
      <c r="G72" s="14">
        <v>46289.511411053238</v>
      </c>
      <c r="H72" s="14">
        <v>46289.514935798608</v>
      </c>
      <c r="I72" s="50">
        <v>1</v>
      </c>
      <c r="J72" s="42">
        <v>-3.6040373300284894</v>
      </c>
      <c r="K72" s="42">
        <v>3</v>
      </c>
      <c r="L72" s="3" t="str">
        <v>20-bar absolute return z-score exceeded 3.0; z=-3.6040373300284894.</v>
      </c>
      <c r="M72" s="3">
        <v>3</v>
      </c>
      <c r="N72" s="3" t="str">
        <v>764624f56e8e444291297385596640e7</v>
      </c>
    </row>
    <row r="73" spans="1:14" x14ac:dyDescent="0.2">
      <c r="A73" s="3" t="str">
        <v>MEDIUM</v>
      </c>
      <c r="B73" s="3" t="str">
        <v>^GSPC</v>
      </c>
      <c r="C73" s="3" t="str">
        <v>S&amp;P 500</v>
      </c>
      <c r="D73" s="3" t="str">
        <v>OUTLIER</v>
      </c>
      <c r="E73" s="3" t="str">
        <v>RESOLVED</v>
      </c>
      <c r="F73" s="14">
        <v>46289.511411053238</v>
      </c>
      <c r="G73" s="14">
        <v>46289.511411053238</v>
      </c>
      <c r="H73" s="14">
        <v>46289.514935798608</v>
      </c>
      <c r="I73" s="50">
        <v>1</v>
      </c>
      <c r="J73" s="42">
        <v>3.3719789454009277</v>
      </c>
      <c r="K73" s="42">
        <v>3</v>
      </c>
      <c r="L73" s="3" t="str">
        <v>20-bar absolute return z-score exceeded 3.0; z=3.3719789454009277.</v>
      </c>
      <c r="M73" s="3">
        <v>3</v>
      </c>
      <c r="N73" s="3" t="str">
        <v>764624f56e8e444291297385596640e7</v>
      </c>
    </row>
    <row r="74" spans="1:14" x14ac:dyDescent="0.2">
      <c r="A74" s="3" t="str">
        <v>MEDIUM</v>
      </c>
      <c r="B74" s="3" t="str">
        <v>^IXIC</v>
      </c>
      <c r="C74" s="3" t="str">
        <v>Nasdaq Composite</v>
      </c>
      <c r="D74" s="3" t="str">
        <v>OUTLIER</v>
      </c>
      <c r="E74" s="3" t="str">
        <v>RESOLVED</v>
      </c>
      <c r="F74" s="14">
        <v>46289.511411053238</v>
      </c>
      <c r="G74" s="14">
        <v>46289.511411053238</v>
      </c>
      <c r="H74" s="14">
        <v>46289.514935798608</v>
      </c>
      <c r="I74" s="50">
        <v>1</v>
      </c>
      <c r="J74" s="42">
        <v>3.2191864804086334</v>
      </c>
      <c r="K74" s="42">
        <v>3</v>
      </c>
      <c r="L74" s="3" t="str">
        <v>20-bar absolute return z-score exceeded 3.0; z=3.2191864804086334.</v>
      </c>
      <c r="M74" s="3">
        <v>3</v>
      </c>
      <c r="N74" s="3" t="str">
        <v>764624f56e8e444291297385596640e7</v>
      </c>
    </row>
    <row r="75" spans="1:14" x14ac:dyDescent="0.2">
      <c r="A75" s="3" t="str">
        <v>MEDIUM</v>
      </c>
      <c r="B75" s="3" t="str">
        <v>META</v>
      </c>
      <c r="C75" s="3" t="str">
        <v>Meta Platforms</v>
      </c>
      <c r="D75" s="3" t="str">
        <v>WIDE_SPREAD</v>
      </c>
      <c r="E75" s="3" t="str">
        <v>RESOLVED</v>
      </c>
      <c r="F75" s="14">
        <v>46289.507888009262</v>
      </c>
      <c r="G75" s="14">
        <v>46289.507888009262</v>
      </c>
      <c r="H75" s="14">
        <v>46289.511411053238</v>
      </c>
      <c r="I75" s="50">
        <v>1</v>
      </c>
      <c r="J75" s="42">
        <v>119.46582461680207</v>
      </c>
      <c r="K75" s="42">
        <v>100</v>
      </c>
      <c r="L75" s="3" t="str">
        <v>Spread=119.47 bps; threshold=100.00 bps.</v>
      </c>
      <c r="M75" s="3">
        <v>3</v>
      </c>
      <c r="N75" s="3" t="str">
        <v>3a428ee7853649ae9817f88a4bdece23</v>
      </c>
    </row>
    <row r="76" spans="1:14" x14ac:dyDescent="0.2">
      <c r="F76" s="14"/>
      <c r="G76" s="14"/>
      <c r="H76" s="14"/>
      <c r="I76" s="50"/>
      <c r="J76" s="42"/>
      <c r="K76" s="42"/>
    </row>
    <row r="77" spans="1:14" x14ac:dyDescent="0.2">
      <c r="F77" s="14"/>
      <c r="G77" s="14"/>
      <c r="H77" s="14"/>
      <c r="I77" s="50"/>
      <c r="J77" s="42"/>
      <c r="K77" s="42"/>
    </row>
    <row r="78" spans="1:14" x14ac:dyDescent="0.2">
      <c r="F78" s="14"/>
      <c r="G78" s="14"/>
      <c r="H78" s="14"/>
      <c r="I78" s="50"/>
      <c r="J78" s="42"/>
      <c r="K78" s="42"/>
    </row>
    <row r="79" spans="1:14" x14ac:dyDescent="0.2">
      <c r="F79" s="14"/>
      <c r="G79" s="14"/>
      <c r="H79" s="14"/>
      <c r="I79" s="50"/>
      <c r="J79" s="42"/>
      <c r="K79" s="42"/>
    </row>
    <row r="80" spans="1:14" x14ac:dyDescent="0.2">
      <c r="F80" s="14"/>
      <c r="G80" s="14"/>
      <c r="H80" s="14"/>
      <c r="I80" s="50"/>
      <c r="J80" s="42"/>
      <c r="K80" s="42"/>
    </row>
    <row r="81" spans="6:11" x14ac:dyDescent="0.2">
      <c r="F81" s="14"/>
      <c r="G81" s="14"/>
      <c r="H81" s="14"/>
      <c r="I81" s="50"/>
      <c r="J81" s="42"/>
      <c r="K81" s="42"/>
    </row>
    <row r="82" spans="6:11" x14ac:dyDescent="0.2">
      <c r="F82" s="14"/>
      <c r="G82" s="14"/>
      <c r="H82" s="14"/>
      <c r="I82" s="50"/>
      <c r="J82" s="42"/>
      <c r="K82" s="42"/>
    </row>
    <row r="83" spans="6:11" x14ac:dyDescent="0.2">
      <c r="F83" s="14"/>
      <c r="G83" s="14"/>
      <c r="H83" s="14"/>
      <c r="I83" s="50"/>
      <c r="J83" s="42"/>
      <c r="K83" s="42"/>
    </row>
    <row r="84" spans="6:11" x14ac:dyDescent="0.2">
      <c r="F84" s="14"/>
      <c r="G84" s="14"/>
      <c r="H84" s="14"/>
      <c r="I84" s="50"/>
      <c r="J84" s="42"/>
      <c r="K84" s="42"/>
    </row>
    <row r="85" spans="6:11" x14ac:dyDescent="0.2">
      <c r="F85" s="14"/>
      <c r="G85" s="14"/>
      <c r="H85" s="14"/>
      <c r="I85" s="50"/>
      <c r="J85" s="42"/>
      <c r="K85" s="42"/>
    </row>
    <row r="86" spans="6:11" x14ac:dyDescent="0.2">
      <c r="F86" s="14"/>
      <c r="G86" s="14"/>
      <c r="H86" s="14"/>
      <c r="I86" s="50"/>
      <c r="J86" s="42"/>
      <c r="K86" s="42"/>
    </row>
    <row r="87" spans="6:11" x14ac:dyDescent="0.2">
      <c r="F87" s="14"/>
      <c r="G87" s="14"/>
      <c r="H87" s="14"/>
      <c r="I87" s="50"/>
      <c r="J87" s="42"/>
      <c r="K87" s="42"/>
    </row>
    <row r="88" spans="6:11" x14ac:dyDescent="0.2">
      <c r="F88" s="14"/>
      <c r="G88" s="14"/>
      <c r="H88" s="14"/>
      <c r="I88" s="50"/>
      <c r="J88" s="42"/>
      <c r="K88" s="42"/>
    </row>
    <row r="89" spans="6:11" x14ac:dyDescent="0.2">
      <c r="F89" s="14"/>
      <c r="G89" s="14"/>
      <c r="H89" s="14"/>
      <c r="I89" s="50"/>
      <c r="J89" s="42"/>
      <c r="K89" s="42"/>
    </row>
    <row r="90" spans="6:11" x14ac:dyDescent="0.2">
      <c r="F90" s="14"/>
      <c r="G90" s="14"/>
      <c r="H90" s="14"/>
      <c r="I90" s="50"/>
      <c r="J90" s="42"/>
      <c r="K90" s="42"/>
    </row>
    <row r="91" spans="6:11" x14ac:dyDescent="0.2">
      <c r="F91" s="14"/>
      <c r="G91" s="14"/>
      <c r="H91" s="14"/>
      <c r="I91" s="50"/>
      <c r="J91" s="42"/>
      <c r="K91" s="42"/>
    </row>
    <row r="92" spans="6:11" x14ac:dyDescent="0.2">
      <c r="F92" s="14"/>
      <c r="G92" s="14"/>
      <c r="H92" s="14"/>
      <c r="I92" s="50"/>
      <c r="J92" s="42"/>
      <c r="K92" s="42"/>
    </row>
    <row r="93" spans="6:11" x14ac:dyDescent="0.2">
      <c r="F93" s="14"/>
      <c r="G93" s="14"/>
      <c r="H93" s="14"/>
      <c r="I93" s="50"/>
      <c r="J93" s="42"/>
      <c r="K93" s="42"/>
    </row>
    <row r="94" spans="6:11" x14ac:dyDescent="0.2">
      <c r="F94" s="14"/>
      <c r="G94" s="14"/>
      <c r="H94" s="14"/>
      <c r="I94" s="50"/>
      <c r="J94" s="42"/>
      <c r="K94" s="42"/>
    </row>
    <row r="95" spans="6:11" x14ac:dyDescent="0.2">
      <c r="F95" s="14"/>
      <c r="G95" s="14"/>
      <c r="H95" s="14"/>
      <c r="I95" s="50"/>
      <c r="J95" s="42"/>
      <c r="K95" s="42"/>
    </row>
    <row r="96" spans="6:11" x14ac:dyDescent="0.2">
      <c r="F96" s="14"/>
      <c r="G96" s="14"/>
      <c r="H96" s="14"/>
      <c r="I96" s="50"/>
      <c r="J96" s="42"/>
      <c r="K96" s="42"/>
    </row>
    <row r="97" spans="6:11" x14ac:dyDescent="0.2">
      <c r="F97" s="14"/>
      <c r="G97" s="14"/>
      <c r="H97" s="14"/>
      <c r="I97" s="50"/>
      <c r="J97" s="42"/>
      <c r="K97" s="42"/>
    </row>
    <row r="98" spans="6:11" x14ac:dyDescent="0.2">
      <c r="F98" s="14"/>
      <c r="G98" s="14"/>
      <c r="H98" s="14"/>
      <c r="I98" s="50"/>
      <c r="J98" s="42"/>
      <c r="K98" s="42"/>
    </row>
    <row r="99" spans="6:11" x14ac:dyDescent="0.2">
      <c r="F99" s="14"/>
      <c r="G99" s="14"/>
      <c r="H99" s="14"/>
      <c r="I99" s="50"/>
      <c r="J99" s="42"/>
      <c r="K99" s="42"/>
    </row>
    <row r="100" spans="6:11" x14ac:dyDescent="0.2">
      <c r="F100" s="14"/>
      <c r="G100" s="14"/>
      <c r="H100" s="14"/>
      <c r="I100" s="50"/>
      <c r="J100" s="42"/>
      <c r="K100" s="42"/>
    </row>
    <row r="101" spans="6:11" x14ac:dyDescent="0.2">
      <c r="F101" s="14"/>
      <c r="G101" s="14"/>
      <c r="H101" s="14"/>
      <c r="I101" s="50"/>
      <c r="J101" s="42"/>
      <c r="K101" s="42"/>
    </row>
    <row r="102" spans="6:11" x14ac:dyDescent="0.2">
      <c r="F102" s="14"/>
      <c r="G102" s="14"/>
      <c r="H102" s="14"/>
      <c r="I102" s="50"/>
      <c r="J102" s="42"/>
      <c r="K102" s="42"/>
    </row>
    <row r="103" spans="6:11" x14ac:dyDescent="0.2">
      <c r="F103" s="14"/>
      <c r="G103" s="14"/>
      <c r="H103" s="14"/>
      <c r="I103" s="50"/>
      <c r="J103" s="42"/>
      <c r="K103" s="42"/>
    </row>
    <row r="104" spans="6:11" x14ac:dyDescent="0.2">
      <c r="F104" s="14"/>
      <c r="G104" s="14"/>
      <c r="H104" s="14"/>
      <c r="I104" s="50"/>
      <c r="J104" s="42"/>
      <c r="K104" s="42"/>
    </row>
    <row r="105" spans="6:11" x14ac:dyDescent="0.2">
      <c r="F105" s="14"/>
      <c r="G105" s="14"/>
      <c r="H105" s="14"/>
      <c r="I105" s="50"/>
      <c r="J105" s="42"/>
      <c r="K105" s="42"/>
    </row>
    <row r="106" spans="6:11" x14ac:dyDescent="0.2">
      <c r="F106" s="14"/>
      <c r="G106" s="14"/>
      <c r="H106" s="14"/>
      <c r="I106" s="50"/>
      <c r="J106" s="42"/>
      <c r="K106" s="42"/>
    </row>
    <row r="107" spans="6:11" x14ac:dyDescent="0.2">
      <c r="F107" s="14"/>
      <c r="G107" s="14"/>
      <c r="H107" s="14"/>
      <c r="I107" s="50"/>
      <c r="J107" s="42"/>
      <c r="K107" s="42"/>
    </row>
    <row r="108" spans="6:11" x14ac:dyDescent="0.2">
      <c r="F108" s="14"/>
      <c r="G108" s="14"/>
      <c r="H108" s="14"/>
      <c r="I108" s="50"/>
      <c r="J108" s="42"/>
      <c r="K108" s="42"/>
    </row>
    <row r="109" spans="6:11" x14ac:dyDescent="0.2">
      <c r="F109" s="14"/>
      <c r="G109" s="14"/>
      <c r="H109" s="14"/>
      <c r="I109" s="50"/>
      <c r="J109" s="42"/>
      <c r="K109" s="42"/>
    </row>
    <row r="110" spans="6:11" x14ac:dyDescent="0.2">
      <c r="F110" s="14"/>
      <c r="G110" s="14"/>
      <c r="H110" s="14"/>
      <c r="I110" s="50"/>
      <c r="J110" s="42"/>
      <c r="K110" s="42"/>
    </row>
    <row r="111" spans="6:11" x14ac:dyDescent="0.2">
      <c r="F111" s="14"/>
      <c r="G111" s="14"/>
      <c r="H111" s="14"/>
      <c r="I111" s="50"/>
      <c r="J111" s="42"/>
      <c r="K111" s="42"/>
    </row>
    <row r="112" spans="6:11" x14ac:dyDescent="0.2">
      <c r="F112" s="14"/>
      <c r="G112" s="14"/>
      <c r="H112" s="14"/>
      <c r="I112" s="50"/>
      <c r="J112" s="42"/>
      <c r="K112" s="42"/>
    </row>
    <row r="113" spans="6:11" x14ac:dyDescent="0.2">
      <c r="F113" s="14"/>
      <c r="G113" s="14"/>
      <c r="H113" s="14"/>
      <c r="I113" s="50"/>
      <c r="J113" s="42"/>
      <c r="K113" s="42"/>
    </row>
    <row r="114" spans="6:11" x14ac:dyDescent="0.2">
      <c r="F114" s="14"/>
      <c r="G114" s="14"/>
      <c r="H114" s="14"/>
      <c r="I114" s="50"/>
      <c r="J114" s="42"/>
      <c r="K114" s="42"/>
    </row>
    <row r="115" spans="6:11" x14ac:dyDescent="0.2">
      <c r="F115" s="14"/>
      <c r="G115" s="14"/>
      <c r="H115" s="14"/>
      <c r="I115" s="50"/>
      <c r="J115" s="42"/>
      <c r="K115" s="42"/>
    </row>
    <row r="116" spans="6:11" x14ac:dyDescent="0.2">
      <c r="F116" s="14"/>
      <c r="G116" s="14"/>
      <c r="H116" s="14"/>
      <c r="I116" s="50"/>
      <c r="J116" s="42"/>
      <c r="K116" s="42"/>
    </row>
    <row r="117" spans="6:11" x14ac:dyDescent="0.2">
      <c r="F117" s="14"/>
      <c r="G117" s="14"/>
      <c r="H117" s="14"/>
      <c r="I117" s="50"/>
      <c r="J117" s="42"/>
      <c r="K117" s="42"/>
    </row>
    <row r="118" spans="6:11" x14ac:dyDescent="0.2">
      <c r="F118" s="14"/>
      <c r="G118" s="14"/>
      <c r="H118" s="14"/>
      <c r="I118" s="50"/>
      <c r="J118" s="42"/>
      <c r="K118" s="42"/>
    </row>
    <row r="119" spans="6:11" x14ac:dyDescent="0.2">
      <c r="F119" s="14"/>
      <c r="G119" s="14"/>
      <c r="H119" s="14"/>
      <c r="I119" s="50"/>
      <c r="J119" s="42"/>
      <c r="K119" s="42"/>
    </row>
    <row r="120" spans="6:11" x14ac:dyDescent="0.2">
      <c r="F120" s="14"/>
      <c r="G120" s="14"/>
      <c r="H120" s="14"/>
      <c r="I120" s="50"/>
      <c r="J120" s="42"/>
      <c r="K120" s="42"/>
    </row>
    <row r="121" spans="6:11" x14ac:dyDescent="0.2">
      <c r="F121" s="14"/>
      <c r="G121" s="14"/>
      <c r="H121" s="14"/>
      <c r="I121" s="50"/>
      <c r="J121" s="42"/>
      <c r="K121" s="42"/>
    </row>
    <row r="122" spans="6:11" x14ac:dyDescent="0.2">
      <c r="F122" s="14"/>
      <c r="G122" s="14"/>
      <c r="H122" s="14"/>
      <c r="I122" s="50"/>
      <c r="J122" s="42"/>
      <c r="K122" s="42"/>
    </row>
    <row r="123" spans="6:11" x14ac:dyDescent="0.2">
      <c r="F123" s="14"/>
      <c r="G123" s="14"/>
      <c r="H123" s="14"/>
      <c r="I123" s="50"/>
      <c r="J123" s="42"/>
      <c r="K123" s="42"/>
    </row>
    <row r="124" spans="6:11" x14ac:dyDescent="0.2">
      <c r="F124" s="14"/>
      <c r="G124" s="14"/>
      <c r="H124" s="14"/>
      <c r="I124" s="50"/>
      <c r="J124" s="42"/>
      <c r="K124" s="42"/>
    </row>
    <row r="125" spans="6:11" x14ac:dyDescent="0.2">
      <c r="F125" s="14"/>
      <c r="G125" s="14"/>
      <c r="H125" s="14"/>
      <c r="I125" s="50"/>
      <c r="J125" s="42"/>
      <c r="K125" s="42"/>
    </row>
    <row r="126" spans="6:11" x14ac:dyDescent="0.2">
      <c r="F126" s="14"/>
      <c r="G126" s="14"/>
      <c r="H126" s="14"/>
      <c r="I126" s="50"/>
      <c r="J126" s="42"/>
      <c r="K126" s="42"/>
    </row>
    <row r="127" spans="6:11" x14ac:dyDescent="0.2">
      <c r="F127" s="14"/>
      <c r="G127" s="14"/>
      <c r="H127" s="14"/>
      <c r="I127" s="50"/>
      <c r="J127" s="42"/>
      <c r="K127" s="42"/>
    </row>
    <row r="128" spans="6:11" x14ac:dyDescent="0.2">
      <c r="F128" s="14"/>
      <c r="G128" s="14"/>
      <c r="H128" s="14"/>
      <c r="I128" s="50"/>
      <c r="J128" s="42"/>
      <c r="K128" s="42"/>
    </row>
    <row r="129" spans="6:11" x14ac:dyDescent="0.2">
      <c r="F129" s="14"/>
      <c r="G129" s="14"/>
      <c r="H129" s="14"/>
      <c r="I129" s="50"/>
      <c r="J129" s="42"/>
      <c r="K129" s="42"/>
    </row>
    <row r="130" spans="6:11" x14ac:dyDescent="0.2">
      <c r="F130" s="14"/>
      <c r="G130" s="14"/>
      <c r="H130" s="14"/>
      <c r="I130" s="50"/>
      <c r="J130" s="42"/>
      <c r="K130" s="42"/>
    </row>
    <row r="131" spans="6:11" x14ac:dyDescent="0.2">
      <c r="F131" s="14"/>
      <c r="G131" s="14"/>
      <c r="H131" s="14"/>
      <c r="I131" s="50"/>
      <c r="J131" s="42"/>
      <c r="K131" s="42"/>
    </row>
    <row r="132" spans="6:11" x14ac:dyDescent="0.2">
      <c r="F132" s="14"/>
      <c r="G132" s="14"/>
      <c r="H132" s="14"/>
      <c r="I132" s="50"/>
      <c r="J132" s="42"/>
      <c r="K132" s="42"/>
    </row>
    <row r="133" spans="6:11" x14ac:dyDescent="0.2">
      <c r="F133" s="14"/>
      <c r="G133" s="14"/>
      <c r="H133" s="14"/>
      <c r="I133" s="50"/>
      <c r="J133" s="42"/>
      <c r="K133" s="42"/>
    </row>
    <row r="134" spans="6:11" x14ac:dyDescent="0.2">
      <c r="F134" s="14"/>
      <c r="G134" s="14"/>
      <c r="H134" s="14"/>
      <c r="I134" s="50"/>
      <c r="J134" s="42"/>
      <c r="K134" s="42"/>
    </row>
    <row r="135" spans="6:11" x14ac:dyDescent="0.2">
      <c r="F135" s="14"/>
      <c r="G135" s="14"/>
      <c r="H135" s="14"/>
      <c r="I135" s="50"/>
      <c r="J135" s="42"/>
      <c r="K135" s="42"/>
    </row>
    <row r="136" spans="6:11" x14ac:dyDescent="0.2">
      <c r="F136" s="14"/>
      <c r="G136" s="14"/>
      <c r="H136" s="14"/>
      <c r="I136" s="50"/>
      <c r="J136" s="42"/>
      <c r="K136" s="42"/>
    </row>
    <row r="137" spans="6:11" x14ac:dyDescent="0.2">
      <c r="F137" s="14"/>
      <c r="G137" s="14"/>
      <c r="H137" s="14"/>
      <c r="I137" s="50"/>
      <c r="J137" s="42"/>
      <c r="K137" s="42"/>
    </row>
    <row r="138" spans="6:11" x14ac:dyDescent="0.2">
      <c r="F138" s="14"/>
      <c r="G138" s="14"/>
      <c r="H138" s="14"/>
      <c r="I138" s="50"/>
      <c r="J138" s="42"/>
      <c r="K138" s="42"/>
    </row>
    <row r="139" spans="6:11" x14ac:dyDescent="0.2">
      <c r="F139" s="14"/>
      <c r="G139" s="14"/>
      <c r="H139" s="14"/>
      <c r="I139" s="50"/>
      <c r="J139" s="42"/>
      <c r="K139" s="42"/>
    </row>
    <row r="140" spans="6:11" x14ac:dyDescent="0.2">
      <c r="F140" s="14"/>
      <c r="G140" s="14"/>
      <c r="H140" s="14"/>
      <c r="I140" s="50"/>
      <c r="J140" s="42"/>
      <c r="K140" s="42"/>
    </row>
    <row r="141" spans="6:11" x14ac:dyDescent="0.2">
      <c r="F141" s="14"/>
      <c r="G141" s="14"/>
      <c r="H141" s="14"/>
      <c r="I141" s="50"/>
      <c r="J141" s="42"/>
      <c r="K141" s="42"/>
    </row>
    <row r="142" spans="6:11" x14ac:dyDescent="0.2">
      <c r="F142" s="14"/>
      <c r="G142" s="14"/>
      <c r="H142" s="14"/>
      <c r="I142" s="50"/>
      <c r="J142" s="42"/>
      <c r="K142" s="42"/>
    </row>
    <row r="143" spans="6:11" x14ac:dyDescent="0.2">
      <c r="F143" s="14"/>
      <c r="G143" s="14"/>
      <c r="H143" s="14"/>
      <c r="I143" s="50"/>
      <c r="J143" s="42"/>
      <c r="K143" s="42"/>
    </row>
    <row r="144" spans="6:11" x14ac:dyDescent="0.2">
      <c r="F144" s="14"/>
      <c r="G144" s="14"/>
      <c r="H144" s="14"/>
      <c r="I144" s="50"/>
      <c r="J144" s="42"/>
      <c r="K144" s="42"/>
    </row>
    <row r="145" spans="6:11" x14ac:dyDescent="0.2">
      <c r="F145" s="14"/>
      <c r="G145" s="14"/>
      <c r="H145" s="14"/>
      <c r="I145" s="50"/>
      <c r="J145" s="42"/>
      <c r="K145" s="42"/>
    </row>
    <row r="146" spans="6:11" x14ac:dyDescent="0.2">
      <c r="F146" s="14"/>
      <c r="G146" s="14"/>
      <c r="H146" s="14"/>
      <c r="I146" s="50"/>
      <c r="J146" s="42"/>
      <c r="K146" s="42"/>
    </row>
    <row r="147" spans="6:11" x14ac:dyDescent="0.2">
      <c r="F147" s="14"/>
      <c r="G147" s="14"/>
      <c r="H147" s="14"/>
      <c r="I147" s="50"/>
      <c r="J147" s="42"/>
      <c r="K147" s="42"/>
    </row>
    <row r="148" spans="6:11" x14ac:dyDescent="0.2">
      <c r="F148" s="14"/>
      <c r="G148" s="14"/>
      <c r="H148" s="14"/>
      <c r="I148" s="50"/>
      <c r="J148" s="42"/>
      <c r="K148" s="42"/>
    </row>
    <row r="149" spans="6:11" x14ac:dyDescent="0.2">
      <c r="F149" s="14"/>
      <c r="G149" s="14"/>
      <c r="H149" s="14"/>
      <c r="I149" s="50"/>
      <c r="J149" s="42"/>
      <c r="K149" s="42"/>
    </row>
    <row r="150" spans="6:11" x14ac:dyDescent="0.2">
      <c r="F150" s="14"/>
      <c r="G150" s="14"/>
      <c r="H150" s="14"/>
      <c r="I150" s="50"/>
      <c r="J150" s="42"/>
      <c r="K150" s="42"/>
    </row>
    <row r="151" spans="6:11" x14ac:dyDescent="0.2">
      <c r="F151" s="14"/>
      <c r="G151" s="14"/>
      <c r="H151" s="14"/>
      <c r="I151" s="50"/>
      <c r="J151" s="42"/>
      <c r="K151" s="42"/>
    </row>
    <row r="152" spans="6:11" x14ac:dyDescent="0.2">
      <c r="F152" s="14"/>
      <c r="G152" s="14"/>
      <c r="H152" s="14"/>
      <c r="I152" s="50"/>
      <c r="J152" s="42"/>
      <c r="K152" s="42"/>
    </row>
    <row r="153" spans="6:11" x14ac:dyDescent="0.2">
      <c r="F153" s="14"/>
      <c r="G153" s="14"/>
      <c r="H153" s="14"/>
      <c r="I153" s="50"/>
      <c r="J153" s="42"/>
      <c r="K153" s="42"/>
    </row>
    <row r="154" spans="6:11" x14ac:dyDescent="0.2">
      <c r="F154" s="14"/>
      <c r="G154" s="14"/>
      <c r="H154" s="14"/>
      <c r="I154" s="50"/>
      <c r="J154" s="42"/>
      <c r="K154" s="42"/>
    </row>
    <row r="155" spans="6:11" x14ac:dyDescent="0.2">
      <c r="F155" s="14"/>
      <c r="G155" s="14"/>
      <c r="H155" s="14"/>
      <c r="I155" s="50"/>
      <c r="J155" s="42"/>
      <c r="K155" s="42"/>
    </row>
    <row r="156" spans="6:11" x14ac:dyDescent="0.2">
      <c r="F156" s="14"/>
      <c r="G156" s="14"/>
      <c r="H156" s="14"/>
      <c r="I156" s="50"/>
      <c r="J156" s="42"/>
      <c r="K156" s="42"/>
    </row>
    <row r="157" spans="6:11" x14ac:dyDescent="0.2">
      <c r="F157" s="14"/>
      <c r="G157" s="14"/>
      <c r="H157" s="14"/>
      <c r="I157" s="50"/>
      <c r="J157" s="42"/>
      <c r="K157" s="42"/>
    </row>
    <row r="158" spans="6:11" x14ac:dyDescent="0.2">
      <c r="F158" s="14"/>
      <c r="G158" s="14"/>
      <c r="H158" s="14"/>
      <c r="I158" s="50"/>
      <c r="J158" s="42"/>
      <c r="K158" s="42"/>
    </row>
    <row r="159" spans="6:11" x14ac:dyDescent="0.2">
      <c r="F159" s="14"/>
      <c r="G159" s="14"/>
      <c r="H159" s="14"/>
      <c r="I159" s="50"/>
      <c r="J159" s="42"/>
      <c r="K159" s="42"/>
    </row>
    <row r="160" spans="6:11" x14ac:dyDescent="0.2">
      <c r="F160" s="14"/>
      <c r="G160" s="14"/>
      <c r="H160" s="14"/>
      <c r="I160" s="50"/>
      <c r="J160" s="42"/>
      <c r="K160" s="42"/>
    </row>
    <row r="161" spans="6:11" x14ac:dyDescent="0.2">
      <c r="F161" s="14"/>
      <c r="G161" s="14"/>
      <c r="H161" s="14"/>
      <c r="I161" s="50"/>
      <c r="J161" s="42"/>
      <c r="K161" s="42"/>
    </row>
    <row r="162" spans="6:11" x14ac:dyDescent="0.2">
      <c r="F162" s="14"/>
      <c r="G162" s="14"/>
      <c r="H162" s="14"/>
      <c r="I162" s="50"/>
      <c r="J162" s="42"/>
      <c r="K162" s="42"/>
    </row>
    <row r="163" spans="6:11" x14ac:dyDescent="0.2">
      <c r="F163" s="14"/>
      <c r="G163" s="14"/>
      <c r="H163" s="14"/>
      <c r="I163" s="50"/>
      <c r="J163" s="42"/>
      <c r="K163" s="42"/>
    </row>
    <row r="164" spans="6:11" x14ac:dyDescent="0.2">
      <c r="F164" s="14"/>
      <c r="G164" s="14"/>
      <c r="H164" s="14"/>
      <c r="I164" s="50"/>
      <c r="J164" s="42"/>
      <c r="K164" s="42"/>
    </row>
    <row r="165" spans="6:11" x14ac:dyDescent="0.2">
      <c r="F165" s="14"/>
      <c r="G165" s="14"/>
      <c r="H165" s="14"/>
      <c r="I165" s="50"/>
      <c r="J165" s="42"/>
      <c r="K165" s="42"/>
    </row>
    <row r="166" spans="6:11" x14ac:dyDescent="0.2">
      <c r="F166" s="14"/>
      <c r="G166" s="14"/>
      <c r="H166" s="14"/>
      <c r="I166" s="50"/>
      <c r="J166" s="42"/>
      <c r="K166" s="42"/>
    </row>
    <row r="167" spans="6:11" x14ac:dyDescent="0.2">
      <c r="F167" s="14"/>
      <c r="G167" s="14"/>
      <c r="H167" s="14"/>
      <c r="I167" s="50"/>
      <c r="J167" s="42"/>
      <c r="K167" s="42"/>
    </row>
    <row r="168" spans="6:11" x14ac:dyDescent="0.2">
      <c r="F168" s="14"/>
      <c r="G168" s="14"/>
      <c r="H168" s="14"/>
      <c r="I168" s="50"/>
      <c r="J168" s="42"/>
      <c r="K168" s="42"/>
    </row>
    <row r="169" spans="6:11" x14ac:dyDescent="0.2">
      <c r="F169" s="14"/>
      <c r="G169" s="14"/>
      <c r="H169" s="14"/>
      <c r="I169" s="50"/>
      <c r="J169" s="42"/>
      <c r="K169" s="42"/>
    </row>
    <row r="170" spans="6:11" x14ac:dyDescent="0.2">
      <c r="F170" s="14"/>
      <c r="G170" s="14"/>
      <c r="H170" s="14"/>
      <c r="I170" s="50"/>
      <c r="J170" s="42"/>
      <c r="K170" s="42"/>
    </row>
    <row r="171" spans="6:11" x14ac:dyDescent="0.2">
      <c r="F171" s="14"/>
      <c r="G171" s="14"/>
      <c r="H171" s="14"/>
      <c r="I171" s="50"/>
      <c r="J171" s="42"/>
      <c r="K171" s="42"/>
    </row>
    <row r="172" spans="6:11" x14ac:dyDescent="0.2">
      <c r="F172" s="14"/>
      <c r="G172" s="14"/>
      <c r="H172" s="14"/>
      <c r="I172" s="50"/>
      <c r="J172" s="42"/>
      <c r="K172" s="42"/>
    </row>
    <row r="173" spans="6:11" x14ac:dyDescent="0.2">
      <c r="F173" s="14"/>
      <c r="G173" s="14"/>
      <c r="H173" s="14"/>
      <c r="I173" s="50"/>
      <c r="J173" s="42"/>
      <c r="K173" s="42"/>
    </row>
    <row r="174" spans="6:11" x14ac:dyDescent="0.2">
      <c r="F174" s="14"/>
      <c r="G174" s="14"/>
      <c r="H174" s="14"/>
      <c r="I174" s="50"/>
      <c r="J174" s="42"/>
      <c r="K174" s="42"/>
    </row>
    <row r="175" spans="6:11" x14ac:dyDescent="0.2">
      <c r="F175" s="14"/>
      <c r="G175" s="14"/>
      <c r="H175" s="14"/>
      <c r="I175" s="50"/>
      <c r="J175" s="42"/>
      <c r="K175" s="42"/>
    </row>
    <row r="176" spans="6:11" x14ac:dyDescent="0.2">
      <c r="F176" s="14"/>
      <c r="G176" s="14"/>
      <c r="H176" s="14"/>
      <c r="I176" s="50"/>
      <c r="J176" s="42"/>
      <c r="K176" s="42"/>
    </row>
    <row r="177" spans="6:11" x14ac:dyDescent="0.2">
      <c r="F177" s="14"/>
      <c r="G177" s="14"/>
      <c r="H177" s="14"/>
      <c r="I177" s="50"/>
      <c r="J177" s="42"/>
      <c r="K177" s="42"/>
    </row>
    <row r="178" spans="6:11" x14ac:dyDescent="0.2">
      <c r="F178" s="14"/>
      <c r="G178" s="14"/>
      <c r="H178" s="14"/>
      <c r="I178" s="50"/>
      <c r="J178" s="42"/>
      <c r="K178" s="42"/>
    </row>
    <row r="179" spans="6:11" x14ac:dyDescent="0.2">
      <c r="F179" s="14"/>
      <c r="G179" s="14"/>
      <c r="H179" s="14"/>
      <c r="I179" s="50"/>
      <c r="J179" s="42"/>
      <c r="K179" s="42"/>
    </row>
    <row r="180" spans="6:11" x14ac:dyDescent="0.2">
      <c r="F180" s="14"/>
      <c r="G180" s="14"/>
      <c r="H180" s="14"/>
      <c r="I180" s="50"/>
      <c r="J180" s="42"/>
      <c r="K180" s="42"/>
    </row>
    <row r="181" spans="6:11" x14ac:dyDescent="0.2">
      <c r="F181" s="14"/>
      <c r="G181" s="14"/>
      <c r="H181" s="14"/>
      <c r="I181" s="50"/>
      <c r="J181" s="42"/>
      <c r="K181" s="42"/>
    </row>
    <row r="182" spans="6:11" x14ac:dyDescent="0.2">
      <c r="F182" s="14"/>
      <c r="G182" s="14"/>
      <c r="H182" s="14"/>
      <c r="I182" s="50"/>
      <c r="J182" s="42"/>
      <c r="K182" s="42"/>
    </row>
    <row r="183" spans="6:11" x14ac:dyDescent="0.2">
      <c r="F183" s="14"/>
      <c r="G183" s="14"/>
      <c r="H183" s="14"/>
      <c r="I183" s="50"/>
      <c r="J183" s="42"/>
      <c r="K183" s="42"/>
    </row>
    <row r="184" spans="6:11" x14ac:dyDescent="0.2">
      <c r="F184" s="14"/>
      <c r="G184" s="14"/>
      <c r="H184" s="14"/>
      <c r="I184" s="50"/>
      <c r="J184" s="42"/>
      <c r="K184" s="42"/>
    </row>
    <row r="185" spans="6:11" x14ac:dyDescent="0.2">
      <c r="F185" s="14"/>
      <c r="G185" s="14"/>
      <c r="H185" s="14"/>
      <c r="I185" s="50"/>
      <c r="J185" s="42"/>
      <c r="K185" s="42"/>
    </row>
    <row r="186" spans="6:11" x14ac:dyDescent="0.2">
      <c r="F186" s="14"/>
      <c r="G186" s="14"/>
      <c r="H186" s="14"/>
      <c r="I186" s="50"/>
      <c r="J186" s="42"/>
      <c r="K186" s="42"/>
    </row>
    <row r="187" spans="6:11" x14ac:dyDescent="0.2">
      <c r="F187" s="14"/>
      <c r="G187" s="14"/>
      <c r="H187" s="14"/>
      <c r="I187" s="50"/>
      <c r="J187" s="42"/>
      <c r="K187" s="42"/>
    </row>
    <row r="188" spans="6:11" x14ac:dyDescent="0.2">
      <c r="F188" s="14"/>
      <c r="G188" s="14"/>
      <c r="H188" s="14"/>
      <c r="I188" s="50"/>
      <c r="J188" s="42"/>
      <c r="K188" s="42"/>
    </row>
    <row r="189" spans="6:11" x14ac:dyDescent="0.2">
      <c r="F189" s="14"/>
      <c r="G189" s="14"/>
      <c r="H189" s="14"/>
      <c r="I189" s="50"/>
      <c r="J189" s="42"/>
      <c r="K189" s="42"/>
    </row>
    <row r="190" spans="6:11" x14ac:dyDescent="0.2">
      <c r="F190" s="14"/>
      <c r="G190" s="14"/>
      <c r="H190" s="14"/>
      <c r="I190" s="50"/>
      <c r="J190" s="42"/>
      <c r="K190" s="42"/>
    </row>
    <row r="191" spans="6:11" x14ac:dyDescent="0.2">
      <c r="F191" s="14"/>
      <c r="G191" s="14"/>
      <c r="H191" s="14"/>
      <c r="I191" s="50"/>
      <c r="J191" s="42"/>
      <c r="K191" s="42"/>
    </row>
    <row r="192" spans="6:11" x14ac:dyDescent="0.2">
      <c r="F192" s="14"/>
      <c r="G192" s="14"/>
      <c r="H192" s="14"/>
      <c r="I192" s="50"/>
      <c r="J192" s="42"/>
      <c r="K192" s="42"/>
    </row>
    <row r="193" spans="6:11" x14ac:dyDescent="0.2">
      <c r="F193" s="14"/>
      <c r="G193" s="14"/>
      <c r="H193" s="14"/>
      <c r="I193" s="50"/>
      <c r="J193" s="42"/>
      <c r="K193" s="42"/>
    </row>
    <row r="194" spans="6:11" x14ac:dyDescent="0.2">
      <c r="F194" s="14"/>
      <c r="G194" s="14"/>
      <c r="H194" s="14"/>
      <c r="I194" s="50"/>
      <c r="J194" s="42"/>
      <c r="K194" s="42"/>
    </row>
    <row r="195" spans="6:11" x14ac:dyDescent="0.2">
      <c r="F195" s="14"/>
      <c r="G195" s="14"/>
      <c r="H195" s="14"/>
      <c r="I195" s="50"/>
      <c r="J195" s="42"/>
      <c r="K195" s="42"/>
    </row>
    <row r="196" spans="6:11" x14ac:dyDescent="0.2">
      <c r="F196" s="14"/>
      <c r="G196" s="14"/>
      <c r="H196" s="14"/>
      <c r="I196" s="50"/>
      <c r="J196" s="42"/>
      <c r="K196" s="42"/>
    </row>
    <row r="197" spans="6:11" x14ac:dyDescent="0.2">
      <c r="F197" s="14"/>
      <c r="G197" s="14"/>
      <c r="H197" s="14"/>
      <c r="I197" s="50"/>
      <c r="J197" s="42"/>
      <c r="K197" s="42"/>
    </row>
    <row r="198" spans="6:11" x14ac:dyDescent="0.2">
      <c r="F198" s="14"/>
      <c r="G198" s="14"/>
      <c r="H198" s="14"/>
      <c r="I198" s="50"/>
      <c r="J198" s="42"/>
      <c r="K198" s="42"/>
    </row>
    <row r="199" spans="6:11" x14ac:dyDescent="0.2">
      <c r="F199" s="14"/>
      <c r="G199" s="14"/>
      <c r="H199" s="14"/>
      <c r="I199" s="50"/>
      <c r="J199" s="42"/>
      <c r="K199" s="42"/>
    </row>
    <row r="200" spans="6:11" x14ac:dyDescent="0.2">
      <c r="F200" s="14"/>
      <c r="G200" s="14"/>
      <c r="H200" s="14"/>
      <c r="I200" s="50"/>
      <c r="J200" s="42"/>
      <c r="K200" s="42"/>
    </row>
    <row r="201" spans="6:11" x14ac:dyDescent="0.2">
      <c r="F201" s="14"/>
      <c r="G201" s="14"/>
      <c r="H201" s="14"/>
      <c r="I201" s="16"/>
    </row>
    <row r="202" spans="6:11" x14ac:dyDescent="0.2">
      <c r="F202" s="14"/>
      <c r="G202" s="14"/>
      <c r="H202" s="14"/>
      <c r="I202" s="16"/>
    </row>
    <row r="203" spans="6:11" x14ac:dyDescent="0.2">
      <c r="F203" s="14"/>
      <c r="G203" s="14"/>
      <c r="H203" s="14"/>
      <c r="I203" s="16"/>
    </row>
    <row r="204" spans="6:11" x14ac:dyDescent="0.2">
      <c r="F204" s="14"/>
      <c r="G204" s="14"/>
      <c r="H204" s="14"/>
      <c r="I204" s="16"/>
    </row>
    <row r="205" spans="6:11" x14ac:dyDescent="0.2">
      <c r="F205" s="14"/>
      <c r="G205" s="14"/>
      <c r="H205" s="14"/>
      <c r="I205" s="16"/>
    </row>
    <row r="206" spans="6:11" x14ac:dyDescent="0.2">
      <c r="F206" s="14"/>
      <c r="G206" s="14"/>
      <c r="H206" s="14"/>
      <c r="I206" s="16"/>
    </row>
    <row r="207" spans="6:11" x14ac:dyDescent="0.2">
      <c r="F207" s="14"/>
      <c r="G207" s="14"/>
      <c r="H207" s="14"/>
      <c r="I207" s="16"/>
    </row>
    <row r="208" spans="6:11" x14ac:dyDescent="0.2">
      <c r="F208" s="14"/>
      <c r="G208" s="14"/>
      <c r="H208" s="14"/>
      <c r="I208" s="16"/>
    </row>
    <row r="209" spans="6:9" x14ac:dyDescent="0.2">
      <c r="F209" s="14"/>
      <c r="G209" s="14"/>
      <c r="H209" s="14"/>
      <c r="I209" s="16"/>
    </row>
    <row r="210" spans="6:9" x14ac:dyDescent="0.2">
      <c r="F210" s="14"/>
      <c r="G210" s="14"/>
      <c r="H210" s="14"/>
      <c r="I210" s="16"/>
    </row>
    <row r="211" spans="6:9" x14ac:dyDescent="0.2">
      <c r="F211" s="14"/>
      <c r="G211" s="14"/>
      <c r="H211" s="14"/>
      <c r="I211" s="16"/>
    </row>
    <row r="212" spans="6:9" x14ac:dyDescent="0.2">
      <c r="F212" s="14"/>
      <c r="G212" s="14"/>
      <c r="H212" s="14"/>
      <c r="I212" s="16"/>
    </row>
    <row r="213" spans="6:9" x14ac:dyDescent="0.2">
      <c r="F213" s="14"/>
      <c r="G213" s="14"/>
      <c r="H213" s="14"/>
      <c r="I213" s="16"/>
    </row>
    <row r="214" spans="6:9" x14ac:dyDescent="0.2">
      <c r="F214" s="14"/>
      <c r="G214" s="14"/>
      <c r="H214" s="14"/>
      <c r="I214" s="16"/>
    </row>
    <row r="215" spans="6:9" x14ac:dyDescent="0.2">
      <c r="F215" s="14"/>
      <c r="G215" s="14"/>
      <c r="H215" s="14"/>
      <c r="I215" s="16"/>
    </row>
    <row r="216" spans="6:9" x14ac:dyDescent="0.2">
      <c r="F216" s="14"/>
      <c r="G216" s="14"/>
      <c r="H216" s="14"/>
      <c r="I216" s="16"/>
    </row>
    <row r="217" spans="6:9" x14ac:dyDescent="0.2">
      <c r="F217" s="14"/>
      <c r="G217" s="14"/>
      <c r="H217" s="14"/>
      <c r="I217" s="16"/>
    </row>
    <row r="218" spans="6:9" x14ac:dyDescent="0.2">
      <c r="F218" s="14"/>
      <c r="G218" s="14"/>
      <c r="H218" s="14"/>
      <c r="I218" s="16"/>
    </row>
    <row r="219" spans="6:9" x14ac:dyDescent="0.2">
      <c r="F219" s="14"/>
      <c r="G219" s="14"/>
      <c r="H219" s="14"/>
      <c r="I219" s="16"/>
    </row>
    <row r="220" spans="6:9" x14ac:dyDescent="0.2">
      <c r="F220" s="14"/>
      <c r="G220" s="14"/>
      <c r="H220" s="14"/>
      <c r="I220" s="16"/>
    </row>
    <row r="221" spans="6:9" x14ac:dyDescent="0.2">
      <c r="F221" s="14"/>
      <c r="G221" s="14"/>
      <c r="H221" s="14"/>
      <c r="I221" s="16"/>
    </row>
    <row r="222" spans="6:9" x14ac:dyDescent="0.2">
      <c r="F222" s="14"/>
      <c r="G222" s="14"/>
      <c r="H222" s="14"/>
      <c r="I222" s="16"/>
    </row>
    <row r="223" spans="6:9" x14ac:dyDescent="0.2">
      <c r="F223" s="14"/>
      <c r="G223" s="14"/>
      <c r="H223" s="14"/>
      <c r="I223" s="16"/>
    </row>
    <row r="224" spans="6:9" x14ac:dyDescent="0.2">
      <c r="F224" s="14"/>
      <c r="G224" s="14"/>
      <c r="H224" s="14"/>
      <c r="I224" s="16"/>
    </row>
    <row r="225" spans="6:9" x14ac:dyDescent="0.2">
      <c r="F225" s="14"/>
      <c r="G225" s="14"/>
      <c r="H225" s="14"/>
      <c r="I225" s="16"/>
    </row>
    <row r="226" spans="6:9" x14ac:dyDescent="0.2">
      <c r="F226" s="14"/>
      <c r="G226" s="14"/>
      <c r="H226" s="14"/>
      <c r="I226" s="16"/>
    </row>
    <row r="227" spans="6:9" x14ac:dyDescent="0.2">
      <c r="F227" s="14"/>
      <c r="G227" s="14"/>
      <c r="H227" s="14"/>
      <c r="I227" s="16"/>
    </row>
    <row r="228" spans="6:9" x14ac:dyDescent="0.2">
      <c r="F228" s="14"/>
      <c r="G228" s="14"/>
      <c r="H228" s="14"/>
      <c r="I228" s="16"/>
    </row>
    <row r="229" spans="6:9" x14ac:dyDescent="0.2">
      <c r="F229" s="14"/>
      <c r="G229" s="14"/>
      <c r="H229" s="14"/>
      <c r="I229" s="16"/>
    </row>
    <row r="230" spans="6:9" x14ac:dyDescent="0.2">
      <c r="F230" s="14"/>
      <c r="G230" s="14"/>
      <c r="H230" s="14"/>
      <c r="I230" s="16"/>
    </row>
    <row r="231" spans="6:9" x14ac:dyDescent="0.2">
      <c r="F231" s="14"/>
      <c r="G231" s="14"/>
      <c r="H231" s="14"/>
      <c r="I231" s="16"/>
    </row>
    <row r="232" spans="6:9" x14ac:dyDescent="0.2">
      <c r="F232" s="14"/>
      <c r="G232" s="14"/>
      <c r="H232" s="14"/>
      <c r="I232" s="16"/>
    </row>
    <row r="233" spans="6:9" x14ac:dyDescent="0.2">
      <c r="F233" s="14"/>
      <c r="G233" s="14"/>
      <c r="H233" s="14"/>
      <c r="I233" s="16"/>
    </row>
    <row r="234" spans="6:9" x14ac:dyDescent="0.2">
      <c r="F234" s="14"/>
      <c r="G234" s="14"/>
      <c r="H234" s="14"/>
      <c r="I234" s="16"/>
    </row>
    <row r="235" spans="6:9" x14ac:dyDescent="0.2">
      <c r="F235" s="14"/>
      <c r="G235" s="14"/>
      <c r="H235" s="14"/>
      <c r="I235" s="16"/>
    </row>
    <row r="236" spans="6:9" x14ac:dyDescent="0.2">
      <c r="F236" s="14"/>
      <c r="G236" s="14"/>
      <c r="H236" s="14"/>
      <c r="I236" s="16"/>
    </row>
    <row r="237" spans="6:9" x14ac:dyDescent="0.2">
      <c r="F237" s="14"/>
      <c r="G237" s="14"/>
      <c r="H237" s="14"/>
      <c r="I237" s="16"/>
    </row>
    <row r="238" spans="6:9" x14ac:dyDescent="0.2">
      <c r="F238" s="14"/>
      <c r="G238" s="14"/>
      <c r="H238" s="14"/>
      <c r="I238" s="16"/>
    </row>
    <row r="239" spans="6:9" x14ac:dyDescent="0.2">
      <c r="F239" s="14"/>
      <c r="G239" s="14"/>
      <c r="H239" s="14"/>
      <c r="I239" s="16"/>
    </row>
    <row r="240" spans="6:9" x14ac:dyDescent="0.2">
      <c r="F240" s="14"/>
      <c r="G240" s="14"/>
      <c r="H240" s="14"/>
      <c r="I240" s="16"/>
    </row>
    <row r="241" spans="6:9" x14ac:dyDescent="0.2">
      <c r="F241" s="14"/>
      <c r="G241" s="14"/>
      <c r="H241" s="14"/>
      <c r="I241" s="16"/>
    </row>
    <row r="242" spans="6:9" x14ac:dyDescent="0.2">
      <c r="F242" s="14"/>
      <c r="G242" s="14"/>
      <c r="H242" s="14"/>
      <c r="I242" s="16"/>
    </row>
    <row r="243" spans="6:9" x14ac:dyDescent="0.2">
      <c r="F243" s="14"/>
      <c r="G243" s="14"/>
      <c r="H243" s="14"/>
      <c r="I243" s="16"/>
    </row>
    <row r="244" spans="6:9" x14ac:dyDescent="0.2">
      <c r="F244" s="14"/>
      <c r="G244" s="14"/>
      <c r="H244" s="14"/>
      <c r="I244" s="16"/>
    </row>
    <row r="245" spans="6:9" x14ac:dyDescent="0.2">
      <c r="F245" s="14"/>
      <c r="G245" s="14"/>
      <c r="H245" s="14"/>
      <c r="I245" s="16"/>
    </row>
    <row r="246" spans="6:9" x14ac:dyDescent="0.2">
      <c r="F246" s="14"/>
      <c r="G246" s="14"/>
      <c r="H246" s="14"/>
      <c r="I246" s="16"/>
    </row>
    <row r="247" spans="6:9" x14ac:dyDescent="0.2">
      <c r="F247" s="14"/>
      <c r="G247" s="14"/>
      <c r="H247" s="14"/>
      <c r="I247" s="16"/>
    </row>
    <row r="248" spans="6:9" x14ac:dyDescent="0.2">
      <c r="F248" s="14"/>
      <c r="G248" s="14"/>
      <c r="H248" s="14"/>
      <c r="I248" s="16"/>
    </row>
    <row r="249" spans="6:9" x14ac:dyDescent="0.2">
      <c r="F249" s="14"/>
      <c r="G249" s="14"/>
      <c r="H249" s="14"/>
      <c r="I249" s="16"/>
    </row>
    <row r="250" spans="6:9" x14ac:dyDescent="0.2">
      <c r="F250" s="14"/>
      <c r="G250" s="14"/>
      <c r="H250" s="14"/>
      <c r="I250" s="16"/>
    </row>
    <row r="251" spans="6:9" x14ac:dyDescent="0.2">
      <c r="F251" s="14"/>
      <c r="G251" s="14"/>
      <c r="H251" s="14"/>
      <c r="I251" s="16"/>
    </row>
    <row r="252" spans="6:9" x14ac:dyDescent="0.2">
      <c r="F252" s="14"/>
      <c r="G252" s="14"/>
      <c r="H252" s="14"/>
      <c r="I252" s="16"/>
    </row>
    <row r="253" spans="6:9" x14ac:dyDescent="0.2">
      <c r="F253" s="14"/>
      <c r="G253" s="14"/>
      <c r="H253" s="14"/>
      <c r="I253" s="16"/>
    </row>
    <row r="254" spans="6:9" x14ac:dyDescent="0.2">
      <c r="F254" s="14"/>
      <c r="G254" s="14"/>
      <c r="H254" s="14"/>
      <c r="I254" s="16"/>
    </row>
    <row r="255" spans="6:9" x14ac:dyDescent="0.2">
      <c r="F255" s="14"/>
      <c r="G255" s="14"/>
      <c r="H255" s="14"/>
      <c r="I255" s="16"/>
    </row>
    <row r="256" spans="6:9" x14ac:dyDescent="0.2">
      <c r="F256" s="14"/>
      <c r="G256" s="14"/>
      <c r="H256" s="14"/>
      <c r="I256" s="16"/>
    </row>
    <row r="257" spans="6:9" x14ac:dyDescent="0.2">
      <c r="F257" s="14"/>
      <c r="G257" s="14"/>
      <c r="H257" s="14"/>
      <c r="I257" s="16"/>
    </row>
    <row r="258" spans="6:9" x14ac:dyDescent="0.2">
      <c r="F258" s="14"/>
      <c r="G258" s="14"/>
      <c r="H258" s="14"/>
      <c r="I258" s="16"/>
    </row>
    <row r="259" spans="6:9" x14ac:dyDescent="0.2">
      <c r="F259" s="14"/>
      <c r="G259" s="14"/>
      <c r="H259" s="14"/>
      <c r="I259" s="16"/>
    </row>
    <row r="260" spans="6:9" x14ac:dyDescent="0.2">
      <c r="F260" s="14"/>
      <c r="G260" s="14"/>
      <c r="H260" s="14"/>
      <c r="I260" s="16"/>
    </row>
    <row r="261" spans="6:9" x14ac:dyDescent="0.2">
      <c r="F261" s="14"/>
      <c r="G261" s="14"/>
      <c r="H261" s="14"/>
      <c r="I261" s="16"/>
    </row>
    <row r="262" spans="6:9" x14ac:dyDescent="0.2">
      <c r="F262" s="14"/>
      <c r="G262" s="14"/>
      <c r="H262" s="14"/>
      <c r="I262" s="16"/>
    </row>
    <row r="263" spans="6:9" x14ac:dyDescent="0.2">
      <c r="F263" s="14"/>
      <c r="G263" s="14"/>
      <c r="H263" s="14"/>
      <c r="I263" s="16"/>
    </row>
    <row r="264" spans="6:9" x14ac:dyDescent="0.2">
      <c r="F264" s="14"/>
      <c r="G264" s="14"/>
      <c r="H264" s="14"/>
      <c r="I264" s="16"/>
    </row>
    <row r="265" spans="6:9" x14ac:dyDescent="0.2">
      <c r="F265" s="14"/>
      <c r="G265" s="14"/>
      <c r="H265" s="14"/>
      <c r="I265" s="16"/>
    </row>
    <row r="266" spans="6:9" x14ac:dyDescent="0.2">
      <c r="F266" s="14"/>
      <c r="G266" s="14"/>
      <c r="H266" s="14"/>
      <c r="I266" s="16"/>
    </row>
    <row r="267" spans="6:9" x14ac:dyDescent="0.2">
      <c r="F267" s="14"/>
      <c r="G267" s="14"/>
      <c r="H267" s="14"/>
      <c r="I267" s="16"/>
    </row>
    <row r="268" spans="6:9" x14ac:dyDescent="0.2">
      <c r="F268" s="14"/>
      <c r="G268" s="14"/>
      <c r="H268" s="14"/>
      <c r="I268" s="16"/>
    </row>
    <row r="269" spans="6:9" x14ac:dyDescent="0.2">
      <c r="F269" s="14"/>
      <c r="G269" s="14"/>
      <c r="H269" s="14"/>
      <c r="I269" s="16"/>
    </row>
    <row r="270" spans="6:9" x14ac:dyDescent="0.2">
      <c r="F270" s="14"/>
      <c r="G270" s="14"/>
      <c r="H270" s="14"/>
      <c r="I270" s="16"/>
    </row>
    <row r="271" spans="6:9" x14ac:dyDescent="0.2">
      <c r="F271" s="14"/>
      <c r="G271" s="14"/>
      <c r="H271" s="14"/>
      <c r="I271" s="16"/>
    </row>
    <row r="272" spans="6:9" x14ac:dyDescent="0.2">
      <c r="F272" s="14"/>
      <c r="G272" s="14"/>
      <c r="H272" s="14"/>
      <c r="I272" s="16"/>
    </row>
    <row r="273" spans="6:9" x14ac:dyDescent="0.2">
      <c r="F273" s="14"/>
      <c r="G273" s="14"/>
      <c r="H273" s="14"/>
      <c r="I273" s="16"/>
    </row>
    <row r="274" spans="6:9" x14ac:dyDescent="0.2">
      <c r="F274" s="14"/>
      <c r="G274" s="14"/>
      <c r="H274" s="14"/>
      <c r="I274" s="16"/>
    </row>
    <row r="275" spans="6:9" x14ac:dyDescent="0.2">
      <c r="F275" s="14"/>
      <c r="G275" s="14"/>
      <c r="H275" s="14"/>
      <c r="I275" s="16"/>
    </row>
    <row r="276" spans="6:9" x14ac:dyDescent="0.2">
      <c r="F276" s="14"/>
      <c r="G276" s="14"/>
      <c r="H276" s="14"/>
      <c r="I276" s="16"/>
    </row>
    <row r="277" spans="6:9" x14ac:dyDescent="0.2">
      <c r="F277" s="14"/>
      <c r="G277" s="14"/>
      <c r="H277" s="14"/>
      <c r="I277" s="16"/>
    </row>
    <row r="278" spans="6:9" x14ac:dyDescent="0.2">
      <c r="F278" s="14"/>
      <c r="G278" s="14"/>
      <c r="H278" s="14"/>
      <c r="I278" s="16"/>
    </row>
    <row r="279" spans="6:9" x14ac:dyDescent="0.2">
      <c r="F279" s="14"/>
      <c r="G279" s="14"/>
      <c r="H279" s="14"/>
      <c r="I279" s="16"/>
    </row>
    <row r="280" spans="6:9" x14ac:dyDescent="0.2">
      <c r="F280" s="14"/>
      <c r="G280" s="14"/>
      <c r="H280" s="14"/>
      <c r="I280" s="16"/>
    </row>
    <row r="281" spans="6:9" x14ac:dyDescent="0.2">
      <c r="F281" s="14"/>
      <c r="G281" s="14"/>
      <c r="H281" s="14"/>
      <c r="I281" s="16"/>
    </row>
    <row r="282" spans="6:9" x14ac:dyDescent="0.2">
      <c r="F282" s="14"/>
      <c r="G282" s="14"/>
      <c r="H282" s="14"/>
      <c r="I282" s="16"/>
    </row>
    <row r="283" spans="6:9" x14ac:dyDescent="0.2">
      <c r="F283" s="14"/>
      <c r="G283" s="14"/>
      <c r="H283" s="14"/>
      <c r="I283" s="16"/>
    </row>
    <row r="284" spans="6:9" x14ac:dyDescent="0.2">
      <c r="F284" s="14"/>
      <c r="G284" s="14"/>
      <c r="H284" s="14"/>
      <c r="I284" s="16"/>
    </row>
    <row r="285" spans="6:9" x14ac:dyDescent="0.2">
      <c r="F285" s="14"/>
      <c r="G285" s="14"/>
      <c r="H285" s="14"/>
      <c r="I285" s="16"/>
    </row>
    <row r="286" spans="6:9" x14ac:dyDescent="0.2">
      <c r="F286" s="14"/>
      <c r="G286" s="14"/>
      <c r="H286" s="14"/>
      <c r="I286" s="16"/>
    </row>
    <row r="287" spans="6:9" x14ac:dyDescent="0.2">
      <c r="F287" s="14"/>
      <c r="G287" s="14"/>
      <c r="H287" s="14"/>
      <c r="I287" s="16"/>
    </row>
    <row r="288" spans="6:9" x14ac:dyDescent="0.2">
      <c r="F288" s="14"/>
      <c r="G288" s="14"/>
      <c r="H288" s="14"/>
      <c r="I288" s="16"/>
    </row>
    <row r="289" spans="6:9" x14ac:dyDescent="0.2">
      <c r="F289" s="14"/>
      <c r="G289" s="14"/>
      <c r="H289" s="14"/>
      <c r="I289" s="16"/>
    </row>
    <row r="290" spans="6:9" x14ac:dyDescent="0.2">
      <c r="F290" s="14"/>
      <c r="G290" s="14"/>
      <c r="H290" s="14"/>
      <c r="I290" s="16"/>
    </row>
    <row r="291" spans="6:9" x14ac:dyDescent="0.2">
      <c r="F291" s="14"/>
      <c r="G291" s="14"/>
      <c r="H291" s="14"/>
      <c r="I291" s="16"/>
    </row>
    <row r="292" spans="6:9" x14ac:dyDescent="0.2">
      <c r="F292" s="14"/>
      <c r="G292" s="14"/>
      <c r="H292" s="14"/>
      <c r="I292" s="16"/>
    </row>
    <row r="293" spans="6:9" x14ac:dyDescent="0.2">
      <c r="F293" s="14"/>
      <c r="G293" s="14"/>
      <c r="H293" s="14"/>
      <c r="I293" s="16"/>
    </row>
    <row r="294" spans="6:9" x14ac:dyDescent="0.2">
      <c r="F294" s="14"/>
      <c r="G294" s="14"/>
      <c r="H294" s="14"/>
      <c r="I294" s="16"/>
    </row>
    <row r="295" spans="6:9" x14ac:dyDescent="0.2">
      <c r="F295" s="14"/>
      <c r="G295" s="14"/>
      <c r="H295" s="14"/>
      <c r="I295" s="16"/>
    </row>
    <row r="296" spans="6:9" x14ac:dyDescent="0.2">
      <c r="F296" s="14"/>
      <c r="G296" s="14"/>
      <c r="H296" s="14"/>
      <c r="I296" s="16"/>
    </row>
    <row r="297" spans="6:9" x14ac:dyDescent="0.2">
      <c r="F297" s="14"/>
      <c r="G297" s="14"/>
      <c r="H297" s="14"/>
      <c r="I297" s="16"/>
    </row>
    <row r="298" spans="6:9" x14ac:dyDescent="0.2">
      <c r="F298" s="14"/>
      <c r="G298" s="14"/>
      <c r="H298" s="14"/>
      <c r="I298" s="16"/>
    </row>
    <row r="299" spans="6:9" x14ac:dyDescent="0.2">
      <c r="F299" s="14"/>
      <c r="G299" s="14"/>
      <c r="H299" s="14"/>
      <c r="I299" s="16"/>
    </row>
    <row r="300" spans="6:9" x14ac:dyDescent="0.2">
      <c r="F300" s="14"/>
      <c r="G300" s="14"/>
      <c r="H300" s="14"/>
      <c r="I300" s="16"/>
    </row>
    <row r="301" spans="6:9" x14ac:dyDescent="0.2">
      <c r="F301" s="14"/>
      <c r="G301" s="14"/>
      <c r="H301" s="14"/>
      <c r="I301" s="16"/>
    </row>
    <row r="302" spans="6:9" x14ac:dyDescent="0.2">
      <c r="F302" s="14"/>
      <c r="G302" s="14"/>
      <c r="H302" s="14"/>
      <c r="I302" s="16"/>
    </row>
    <row r="303" spans="6:9" x14ac:dyDescent="0.2">
      <c r="F303" s="14"/>
      <c r="G303" s="14"/>
      <c r="H303" s="14"/>
      <c r="I303" s="16"/>
    </row>
    <row r="304" spans="6:9" x14ac:dyDescent="0.2">
      <c r="F304" s="14"/>
      <c r="G304" s="14"/>
      <c r="H304" s="14"/>
      <c r="I304" s="16"/>
    </row>
    <row r="305" spans="6:9" x14ac:dyDescent="0.2">
      <c r="F305" s="14"/>
      <c r="G305" s="14"/>
      <c r="H305" s="14"/>
      <c r="I305" s="16"/>
    </row>
    <row r="306" spans="6:9" x14ac:dyDescent="0.2">
      <c r="F306" s="14"/>
      <c r="G306" s="14"/>
      <c r="H306" s="14"/>
      <c r="I306" s="16"/>
    </row>
    <row r="307" spans="6:9" x14ac:dyDescent="0.2">
      <c r="F307" s="14"/>
      <c r="G307" s="14"/>
      <c r="H307" s="14"/>
      <c r="I307" s="16"/>
    </row>
    <row r="308" spans="6:9" x14ac:dyDescent="0.2">
      <c r="F308" s="14"/>
      <c r="G308" s="14"/>
      <c r="H308" s="14"/>
      <c r="I308" s="16"/>
    </row>
    <row r="309" spans="6:9" x14ac:dyDescent="0.2">
      <c r="F309" s="14"/>
      <c r="G309" s="14"/>
      <c r="H309" s="14"/>
      <c r="I309" s="16"/>
    </row>
    <row r="310" spans="6:9" x14ac:dyDescent="0.2">
      <c r="F310" s="14"/>
      <c r="G310" s="14"/>
      <c r="H310" s="14"/>
      <c r="I310" s="16"/>
    </row>
    <row r="311" spans="6:9" x14ac:dyDescent="0.2">
      <c r="F311" s="14"/>
      <c r="G311" s="14"/>
      <c r="H311" s="14"/>
      <c r="I311" s="16"/>
    </row>
    <row r="312" spans="6:9" x14ac:dyDescent="0.2">
      <c r="F312" s="14"/>
      <c r="G312" s="14"/>
      <c r="H312" s="14"/>
      <c r="I312" s="16"/>
    </row>
    <row r="313" spans="6:9" x14ac:dyDescent="0.2">
      <c r="F313" s="14"/>
      <c r="G313" s="14"/>
      <c r="H313" s="14"/>
      <c r="I313" s="16"/>
    </row>
    <row r="314" spans="6:9" x14ac:dyDescent="0.2">
      <c r="F314" s="14"/>
      <c r="G314" s="14"/>
      <c r="H314" s="14"/>
      <c r="I314" s="16"/>
    </row>
    <row r="315" spans="6:9" x14ac:dyDescent="0.2">
      <c r="F315" s="14"/>
      <c r="G315" s="14"/>
      <c r="H315" s="14"/>
      <c r="I315" s="16"/>
    </row>
    <row r="316" spans="6:9" x14ac:dyDescent="0.2">
      <c r="F316" s="14"/>
      <c r="G316" s="14"/>
      <c r="H316" s="14"/>
      <c r="I316" s="16"/>
    </row>
    <row r="317" spans="6:9" x14ac:dyDescent="0.2">
      <c r="F317" s="14"/>
      <c r="G317" s="14"/>
      <c r="H317" s="14"/>
      <c r="I317" s="16"/>
    </row>
    <row r="318" spans="6:9" x14ac:dyDescent="0.2">
      <c r="F318" s="14"/>
      <c r="G318" s="14"/>
      <c r="H318" s="14"/>
      <c r="I318" s="16"/>
    </row>
    <row r="319" spans="6:9" x14ac:dyDescent="0.2">
      <c r="F319" s="14"/>
      <c r="G319" s="14"/>
      <c r="H319" s="14"/>
      <c r="I319" s="16"/>
    </row>
    <row r="320" spans="6:9" x14ac:dyDescent="0.2">
      <c r="F320" s="14"/>
      <c r="G320" s="14"/>
      <c r="H320" s="14"/>
      <c r="I320" s="16"/>
    </row>
    <row r="321" spans="6:9" x14ac:dyDescent="0.2">
      <c r="F321" s="14"/>
      <c r="G321" s="14"/>
      <c r="H321" s="14"/>
      <c r="I321" s="16"/>
    </row>
    <row r="322" spans="6:9" x14ac:dyDescent="0.2">
      <c r="F322" s="14"/>
      <c r="G322" s="14"/>
      <c r="H322" s="14"/>
      <c r="I322" s="16"/>
    </row>
    <row r="323" spans="6:9" x14ac:dyDescent="0.2">
      <c r="F323" s="14"/>
      <c r="G323" s="14"/>
      <c r="H323" s="14"/>
      <c r="I323" s="16"/>
    </row>
    <row r="324" spans="6:9" x14ac:dyDescent="0.2">
      <c r="F324" s="14"/>
      <c r="G324" s="14"/>
      <c r="H324" s="14"/>
      <c r="I324" s="16"/>
    </row>
    <row r="325" spans="6:9" x14ac:dyDescent="0.2">
      <c r="F325" s="14"/>
      <c r="G325" s="14"/>
      <c r="H325" s="14"/>
      <c r="I325" s="16"/>
    </row>
    <row r="326" spans="6:9" x14ac:dyDescent="0.2">
      <c r="F326" s="14"/>
      <c r="G326" s="14"/>
      <c r="H326" s="14"/>
      <c r="I326" s="16"/>
    </row>
    <row r="327" spans="6:9" x14ac:dyDescent="0.2">
      <c r="F327" s="14"/>
      <c r="G327" s="14"/>
      <c r="H327" s="14"/>
      <c r="I327" s="16"/>
    </row>
    <row r="328" spans="6:9" x14ac:dyDescent="0.2">
      <c r="F328" s="14"/>
      <c r="G328" s="14"/>
      <c r="H328" s="14"/>
      <c r="I328" s="16"/>
    </row>
    <row r="329" spans="6:9" x14ac:dyDescent="0.2">
      <c r="F329" s="14"/>
      <c r="G329" s="14"/>
      <c r="H329" s="14"/>
      <c r="I329" s="16"/>
    </row>
    <row r="330" spans="6:9" x14ac:dyDescent="0.2">
      <c r="F330" s="14"/>
      <c r="G330" s="14"/>
      <c r="H330" s="14"/>
      <c r="I330" s="16"/>
    </row>
    <row r="331" spans="6:9" x14ac:dyDescent="0.2">
      <c r="F331" s="14"/>
      <c r="G331" s="14"/>
      <c r="H331" s="14"/>
      <c r="I331" s="16"/>
    </row>
    <row r="332" spans="6:9" x14ac:dyDescent="0.2">
      <c r="F332" s="14"/>
      <c r="G332" s="14"/>
      <c r="H332" s="14"/>
      <c r="I332" s="16"/>
    </row>
    <row r="333" spans="6:9" x14ac:dyDescent="0.2">
      <c r="F333" s="14"/>
      <c r="G333" s="14"/>
      <c r="H333" s="14"/>
      <c r="I333" s="16"/>
    </row>
    <row r="334" spans="6:9" x14ac:dyDescent="0.2">
      <c r="F334" s="14"/>
      <c r="G334" s="14"/>
      <c r="H334" s="14"/>
      <c r="I334" s="16"/>
    </row>
    <row r="335" spans="6:9" x14ac:dyDescent="0.2">
      <c r="F335" s="14"/>
      <c r="G335" s="14"/>
      <c r="H335" s="14"/>
      <c r="I335" s="16"/>
    </row>
    <row r="336" spans="6:9" x14ac:dyDescent="0.2">
      <c r="F336" s="14"/>
      <c r="G336" s="14"/>
      <c r="H336" s="14"/>
      <c r="I336" s="16"/>
    </row>
    <row r="337" spans="6:9" x14ac:dyDescent="0.2">
      <c r="F337" s="14"/>
      <c r="G337" s="14"/>
      <c r="H337" s="14"/>
      <c r="I337" s="16"/>
    </row>
    <row r="338" spans="6:9" x14ac:dyDescent="0.2">
      <c r="F338" s="14"/>
      <c r="G338" s="14"/>
      <c r="H338" s="14"/>
      <c r="I338" s="16"/>
    </row>
    <row r="339" spans="6:9" x14ac:dyDescent="0.2">
      <c r="F339" s="14"/>
      <c r="G339" s="14"/>
      <c r="H339" s="14"/>
      <c r="I339" s="16"/>
    </row>
    <row r="340" spans="6:9" x14ac:dyDescent="0.2">
      <c r="F340" s="14"/>
      <c r="G340" s="14"/>
      <c r="H340" s="14"/>
      <c r="I340" s="16"/>
    </row>
    <row r="341" spans="6:9" x14ac:dyDescent="0.2">
      <c r="F341" s="14"/>
      <c r="G341" s="14"/>
      <c r="H341" s="14"/>
      <c r="I341" s="16"/>
    </row>
    <row r="342" spans="6:9" x14ac:dyDescent="0.2">
      <c r="F342" s="14"/>
      <c r="G342" s="14"/>
      <c r="H342" s="14"/>
      <c r="I342" s="16"/>
    </row>
    <row r="343" spans="6:9" x14ac:dyDescent="0.2">
      <c r="F343" s="14"/>
      <c r="G343" s="14"/>
      <c r="H343" s="14"/>
      <c r="I343" s="16"/>
    </row>
    <row r="344" spans="6:9" x14ac:dyDescent="0.2">
      <c r="F344" s="14"/>
      <c r="G344" s="14"/>
      <c r="H344" s="14"/>
      <c r="I344" s="16"/>
    </row>
    <row r="345" spans="6:9" x14ac:dyDescent="0.2">
      <c r="F345" s="14"/>
      <c r="G345" s="14"/>
      <c r="H345" s="14"/>
      <c r="I345" s="16"/>
    </row>
    <row r="346" spans="6:9" x14ac:dyDescent="0.2">
      <c r="F346" s="14"/>
      <c r="G346" s="14"/>
      <c r="H346" s="14"/>
      <c r="I346" s="16"/>
    </row>
    <row r="347" spans="6:9" x14ac:dyDescent="0.2">
      <c r="F347" s="14"/>
      <c r="G347" s="14"/>
      <c r="H347" s="14"/>
      <c r="I347" s="16"/>
    </row>
    <row r="348" spans="6:9" x14ac:dyDescent="0.2">
      <c r="F348" s="14"/>
      <c r="G348" s="14"/>
      <c r="H348" s="14"/>
      <c r="I348" s="16"/>
    </row>
    <row r="349" spans="6:9" x14ac:dyDescent="0.2">
      <c r="F349" s="14"/>
      <c r="G349" s="14"/>
      <c r="H349" s="14"/>
      <c r="I349" s="16"/>
    </row>
    <row r="350" spans="6:9" x14ac:dyDescent="0.2">
      <c r="F350" s="14"/>
      <c r="G350" s="14"/>
      <c r="H350" s="14"/>
      <c r="I350" s="16"/>
    </row>
    <row r="351" spans="6:9" x14ac:dyDescent="0.2">
      <c r="F351" s="14"/>
      <c r="G351" s="14"/>
      <c r="H351" s="14"/>
      <c r="I351" s="16"/>
    </row>
    <row r="352" spans="6:9" x14ac:dyDescent="0.2">
      <c r="F352" s="14"/>
      <c r="G352" s="14"/>
      <c r="H352" s="14"/>
      <c r="I352" s="16"/>
    </row>
    <row r="353" spans="6:9" x14ac:dyDescent="0.2">
      <c r="F353" s="14"/>
      <c r="G353" s="14"/>
      <c r="H353" s="14"/>
      <c r="I353" s="16"/>
    </row>
    <row r="354" spans="6:9" x14ac:dyDescent="0.2">
      <c r="F354" s="14"/>
      <c r="G354" s="14"/>
      <c r="H354" s="14"/>
      <c r="I354" s="16"/>
    </row>
    <row r="355" spans="6:9" x14ac:dyDescent="0.2">
      <c r="F355" s="14"/>
      <c r="G355" s="14"/>
      <c r="H355" s="14"/>
      <c r="I355" s="16"/>
    </row>
    <row r="356" spans="6:9" x14ac:dyDescent="0.2">
      <c r="F356" s="14"/>
      <c r="G356" s="14"/>
      <c r="H356" s="14"/>
      <c r="I356" s="16"/>
    </row>
    <row r="357" spans="6:9" x14ac:dyDescent="0.2">
      <c r="F357" s="14"/>
      <c r="G357" s="14"/>
      <c r="H357" s="14"/>
      <c r="I357" s="16"/>
    </row>
    <row r="358" spans="6:9" x14ac:dyDescent="0.2">
      <c r="F358" s="14"/>
      <c r="G358" s="14"/>
      <c r="H358" s="14"/>
      <c r="I358" s="16"/>
    </row>
    <row r="359" spans="6:9" x14ac:dyDescent="0.2">
      <c r="F359" s="14"/>
      <c r="G359" s="14"/>
      <c r="H359" s="14"/>
      <c r="I359" s="16"/>
    </row>
    <row r="360" spans="6:9" x14ac:dyDescent="0.2">
      <c r="F360" s="14"/>
      <c r="G360" s="14"/>
      <c r="H360" s="14"/>
      <c r="I360" s="16"/>
    </row>
    <row r="361" spans="6:9" x14ac:dyDescent="0.2">
      <c r="F361" s="14"/>
      <c r="G361" s="14"/>
      <c r="H361" s="14"/>
      <c r="I361" s="16"/>
    </row>
    <row r="362" spans="6:9" x14ac:dyDescent="0.2">
      <c r="F362" s="14"/>
      <c r="G362" s="14"/>
      <c r="H362" s="14"/>
      <c r="I362" s="16"/>
    </row>
    <row r="363" spans="6:9" x14ac:dyDescent="0.2">
      <c r="F363" s="14"/>
      <c r="G363" s="14"/>
      <c r="H363" s="14"/>
      <c r="I363" s="16"/>
    </row>
    <row r="364" spans="6:9" x14ac:dyDescent="0.2">
      <c r="F364" s="14"/>
      <c r="G364" s="14"/>
      <c r="H364" s="14"/>
      <c r="I364" s="16"/>
    </row>
    <row r="365" spans="6:9" x14ac:dyDescent="0.2">
      <c r="F365" s="14"/>
      <c r="G365" s="14"/>
      <c r="H365" s="14"/>
      <c r="I365" s="16"/>
    </row>
    <row r="366" spans="6:9" x14ac:dyDescent="0.2">
      <c r="F366" s="14"/>
      <c r="G366" s="14"/>
      <c r="H366" s="14"/>
      <c r="I366" s="16"/>
    </row>
    <row r="367" spans="6:9" x14ac:dyDescent="0.2">
      <c r="F367" s="14"/>
      <c r="G367" s="14"/>
      <c r="H367" s="14"/>
      <c r="I367" s="16"/>
    </row>
    <row r="368" spans="6:9" x14ac:dyDescent="0.2">
      <c r="F368" s="14"/>
      <c r="G368" s="14"/>
      <c r="H368" s="14"/>
      <c r="I368" s="16"/>
    </row>
    <row r="369" spans="6:9" x14ac:dyDescent="0.2">
      <c r="F369" s="14"/>
      <c r="G369" s="14"/>
      <c r="H369" s="14"/>
      <c r="I369" s="16"/>
    </row>
    <row r="370" spans="6:9" x14ac:dyDescent="0.2">
      <c r="F370" s="14"/>
      <c r="G370" s="14"/>
      <c r="H370" s="14"/>
      <c r="I370" s="16"/>
    </row>
    <row r="371" spans="6:9" x14ac:dyDescent="0.2">
      <c r="F371" s="14"/>
      <c r="G371" s="14"/>
      <c r="H371" s="14"/>
      <c r="I371" s="16"/>
    </row>
    <row r="372" spans="6:9" x14ac:dyDescent="0.2">
      <c r="F372" s="14"/>
      <c r="G372" s="14"/>
      <c r="H372" s="14"/>
      <c r="I372" s="16"/>
    </row>
    <row r="373" spans="6:9" x14ac:dyDescent="0.2">
      <c r="F373" s="14"/>
      <c r="G373" s="14"/>
      <c r="H373" s="14"/>
      <c r="I373" s="16"/>
    </row>
    <row r="374" spans="6:9" x14ac:dyDescent="0.2">
      <c r="F374" s="14"/>
      <c r="G374" s="14"/>
      <c r="H374" s="14"/>
      <c r="I374" s="16"/>
    </row>
    <row r="375" spans="6:9" x14ac:dyDescent="0.2">
      <c r="F375" s="14"/>
      <c r="G375" s="14"/>
      <c r="H375" s="14"/>
      <c r="I375" s="16"/>
    </row>
    <row r="376" spans="6:9" x14ac:dyDescent="0.2">
      <c r="F376" s="14"/>
      <c r="G376" s="14"/>
      <c r="H376" s="14"/>
      <c r="I376" s="16"/>
    </row>
    <row r="377" spans="6:9" x14ac:dyDescent="0.2">
      <c r="F377" s="14"/>
      <c r="G377" s="14"/>
      <c r="H377" s="14"/>
      <c r="I377" s="16"/>
    </row>
    <row r="378" spans="6:9" x14ac:dyDescent="0.2">
      <c r="F378" s="14"/>
      <c r="G378" s="14"/>
      <c r="H378" s="14"/>
      <c r="I378" s="16"/>
    </row>
    <row r="379" spans="6:9" x14ac:dyDescent="0.2">
      <c r="F379" s="14"/>
      <c r="G379" s="14"/>
      <c r="H379" s="14"/>
      <c r="I379" s="16"/>
    </row>
    <row r="380" spans="6:9" x14ac:dyDescent="0.2">
      <c r="F380" s="14"/>
      <c r="G380" s="14"/>
      <c r="H380" s="14"/>
      <c r="I380" s="16"/>
    </row>
    <row r="381" spans="6:9" x14ac:dyDescent="0.2">
      <c r="F381" s="14"/>
      <c r="G381" s="14"/>
      <c r="H381" s="14"/>
      <c r="I381" s="16"/>
    </row>
    <row r="382" spans="6:9" x14ac:dyDescent="0.2">
      <c r="F382" s="14"/>
      <c r="G382" s="14"/>
      <c r="H382" s="14"/>
      <c r="I382" s="16"/>
    </row>
    <row r="383" spans="6:9" x14ac:dyDescent="0.2">
      <c r="F383" s="14"/>
      <c r="G383" s="14"/>
      <c r="H383" s="14"/>
      <c r="I383" s="16"/>
    </row>
    <row r="384" spans="6:9" x14ac:dyDescent="0.2">
      <c r="F384" s="14"/>
      <c r="G384" s="14"/>
      <c r="H384" s="14"/>
      <c r="I384" s="16"/>
    </row>
    <row r="385" spans="6:9" x14ac:dyDescent="0.2">
      <c r="F385" s="14"/>
      <c r="G385" s="14"/>
      <c r="H385" s="14"/>
      <c r="I385" s="16"/>
    </row>
    <row r="386" spans="6:9" x14ac:dyDescent="0.2">
      <c r="F386" s="14"/>
      <c r="G386" s="14"/>
      <c r="H386" s="14"/>
      <c r="I386" s="16"/>
    </row>
    <row r="387" spans="6:9" x14ac:dyDescent="0.2">
      <c r="F387" s="14"/>
      <c r="G387" s="14"/>
      <c r="H387" s="14"/>
      <c r="I387" s="16"/>
    </row>
    <row r="388" spans="6:9" x14ac:dyDescent="0.2">
      <c r="F388" s="14"/>
      <c r="G388" s="14"/>
      <c r="H388" s="14"/>
      <c r="I388" s="16"/>
    </row>
    <row r="389" spans="6:9" x14ac:dyDescent="0.2">
      <c r="F389" s="14"/>
      <c r="G389" s="14"/>
      <c r="H389" s="14"/>
      <c r="I389" s="16"/>
    </row>
    <row r="390" spans="6:9" x14ac:dyDescent="0.2">
      <c r="F390" s="14"/>
      <c r="G390" s="14"/>
      <c r="H390" s="14"/>
      <c r="I390" s="16"/>
    </row>
    <row r="391" spans="6:9" x14ac:dyDescent="0.2">
      <c r="F391" s="14"/>
      <c r="G391" s="14"/>
      <c r="H391" s="14"/>
      <c r="I391" s="16"/>
    </row>
    <row r="392" spans="6:9" x14ac:dyDescent="0.2">
      <c r="F392" s="14"/>
      <c r="G392" s="14"/>
      <c r="H392" s="14"/>
      <c r="I392" s="16"/>
    </row>
    <row r="393" spans="6:9" x14ac:dyDescent="0.2">
      <c r="F393" s="14"/>
      <c r="G393" s="14"/>
      <c r="H393" s="14"/>
      <c r="I393" s="16"/>
    </row>
    <row r="394" spans="6:9" x14ac:dyDescent="0.2">
      <c r="F394" s="14"/>
      <c r="G394" s="14"/>
      <c r="H394" s="14"/>
      <c r="I394" s="16"/>
    </row>
    <row r="395" spans="6:9" x14ac:dyDescent="0.2">
      <c r="F395" s="14"/>
      <c r="G395" s="14"/>
      <c r="H395" s="14"/>
      <c r="I395" s="16"/>
    </row>
    <row r="396" spans="6:9" x14ac:dyDescent="0.2">
      <c r="F396" s="14"/>
      <c r="G396" s="14"/>
      <c r="H396" s="14"/>
      <c r="I396" s="16"/>
    </row>
    <row r="397" spans="6:9" x14ac:dyDescent="0.2">
      <c r="F397" s="14"/>
      <c r="G397" s="14"/>
      <c r="H397" s="14"/>
      <c r="I397" s="16"/>
    </row>
    <row r="398" spans="6:9" x14ac:dyDescent="0.2">
      <c r="F398" s="14"/>
      <c r="G398" s="14"/>
      <c r="H398" s="14"/>
      <c r="I398" s="16"/>
    </row>
    <row r="399" spans="6:9" x14ac:dyDescent="0.2">
      <c r="F399" s="14"/>
      <c r="G399" s="14"/>
      <c r="H399" s="14"/>
      <c r="I399" s="16"/>
    </row>
    <row r="400" spans="6:9" x14ac:dyDescent="0.2">
      <c r="F400" s="14"/>
      <c r="G400" s="14"/>
      <c r="H400" s="14"/>
      <c r="I400" s="16"/>
    </row>
    <row r="401" spans="6:9" x14ac:dyDescent="0.2">
      <c r="F401" s="14"/>
      <c r="G401" s="14"/>
      <c r="H401" s="14"/>
      <c r="I401" s="16"/>
    </row>
    <row r="402" spans="6:9" x14ac:dyDescent="0.2">
      <c r="F402" s="14"/>
      <c r="G402" s="14"/>
      <c r="H402" s="14"/>
      <c r="I402" s="16"/>
    </row>
    <row r="403" spans="6:9" x14ac:dyDescent="0.2">
      <c r="F403" s="14"/>
      <c r="G403" s="14"/>
      <c r="H403" s="14"/>
      <c r="I403" s="16"/>
    </row>
    <row r="404" spans="6:9" x14ac:dyDescent="0.2">
      <c r="F404" s="14"/>
      <c r="G404" s="14"/>
      <c r="H404" s="14"/>
      <c r="I404" s="16"/>
    </row>
    <row r="405" spans="6:9" x14ac:dyDescent="0.2">
      <c r="F405" s="14"/>
      <c r="G405" s="14"/>
      <c r="H405" s="14"/>
      <c r="I405" s="16"/>
    </row>
    <row r="406" spans="6:9" x14ac:dyDescent="0.2">
      <c r="F406" s="14"/>
      <c r="G406" s="14"/>
      <c r="H406" s="14"/>
      <c r="I406" s="16"/>
    </row>
    <row r="407" spans="6:9" x14ac:dyDescent="0.2">
      <c r="F407" s="14"/>
      <c r="G407" s="14"/>
      <c r="H407" s="14"/>
      <c r="I407" s="16"/>
    </row>
    <row r="408" spans="6:9" x14ac:dyDescent="0.2">
      <c r="F408" s="14"/>
      <c r="G408" s="14"/>
      <c r="H408" s="14"/>
      <c r="I408" s="16"/>
    </row>
    <row r="409" spans="6:9" x14ac:dyDescent="0.2">
      <c r="F409" s="14"/>
      <c r="G409" s="14"/>
      <c r="H409" s="14"/>
      <c r="I409" s="16"/>
    </row>
    <row r="410" spans="6:9" x14ac:dyDescent="0.2">
      <c r="F410" s="14"/>
      <c r="G410" s="14"/>
      <c r="H410" s="14"/>
      <c r="I410" s="16"/>
    </row>
    <row r="411" spans="6:9" x14ac:dyDescent="0.2">
      <c r="F411" s="14"/>
      <c r="G411" s="14"/>
      <c r="H411" s="14"/>
      <c r="I411" s="16"/>
    </row>
    <row r="412" spans="6:9" x14ac:dyDescent="0.2">
      <c r="F412" s="14"/>
      <c r="G412" s="14"/>
      <c r="H412" s="14"/>
      <c r="I412" s="16"/>
    </row>
    <row r="413" spans="6:9" x14ac:dyDescent="0.2">
      <c r="F413" s="14"/>
      <c r="G413" s="14"/>
      <c r="H413" s="14"/>
      <c r="I413" s="16"/>
    </row>
    <row r="414" spans="6:9" x14ac:dyDescent="0.2">
      <c r="F414" s="14"/>
      <c r="G414" s="14"/>
      <c r="H414" s="14"/>
      <c r="I414" s="16"/>
    </row>
    <row r="415" spans="6:9" x14ac:dyDescent="0.2">
      <c r="F415" s="14"/>
      <c r="G415" s="14"/>
      <c r="H415" s="14"/>
      <c r="I415" s="16"/>
    </row>
    <row r="416" spans="6:9" x14ac:dyDescent="0.2">
      <c r="F416" s="14"/>
      <c r="G416" s="14"/>
      <c r="H416" s="14"/>
      <c r="I416" s="16"/>
    </row>
    <row r="417" spans="6:9" x14ac:dyDescent="0.2">
      <c r="F417" s="14"/>
      <c r="G417" s="14"/>
      <c r="H417" s="14"/>
      <c r="I417" s="16"/>
    </row>
    <row r="418" spans="6:9" x14ac:dyDescent="0.2">
      <c r="F418" s="14"/>
      <c r="G418" s="14"/>
      <c r="H418" s="14"/>
      <c r="I418" s="16"/>
    </row>
    <row r="419" spans="6:9" x14ac:dyDescent="0.2">
      <c r="F419" s="14"/>
      <c r="G419" s="14"/>
      <c r="H419" s="14"/>
      <c r="I419" s="16"/>
    </row>
    <row r="420" spans="6:9" x14ac:dyDescent="0.2">
      <c r="F420" s="14"/>
      <c r="G420" s="14"/>
      <c r="H420" s="14"/>
      <c r="I420" s="16"/>
    </row>
    <row r="421" spans="6:9" x14ac:dyDescent="0.2">
      <c r="F421" s="14"/>
      <c r="G421" s="14"/>
      <c r="H421" s="14"/>
      <c r="I421" s="16"/>
    </row>
    <row r="422" spans="6:9" x14ac:dyDescent="0.2">
      <c r="F422" s="14"/>
      <c r="G422" s="14"/>
      <c r="H422" s="14"/>
      <c r="I422" s="16"/>
    </row>
    <row r="423" spans="6:9" x14ac:dyDescent="0.2">
      <c r="F423" s="14"/>
      <c r="G423" s="14"/>
      <c r="H423" s="14"/>
      <c r="I423" s="16"/>
    </row>
    <row r="424" spans="6:9" x14ac:dyDescent="0.2">
      <c r="F424" s="14"/>
      <c r="G424" s="14"/>
      <c r="H424" s="14"/>
      <c r="I424" s="16"/>
    </row>
    <row r="425" spans="6:9" x14ac:dyDescent="0.2">
      <c r="F425" s="14"/>
      <c r="G425" s="14"/>
      <c r="H425" s="14"/>
      <c r="I425" s="16"/>
    </row>
    <row r="426" spans="6:9" x14ac:dyDescent="0.2">
      <c r="F426" s="14"/>
      <c r="G426" s="14"/>
      <c r="H426" s="14"/>
      <c r="I426" s="16"/>
    </row>
    <row r="427" spans="6:9" x14ac:dyDescent="0.2">
      <c r="F427" s="14"/>
      <c r="G427" s="14"/>
      <c r="H427" s="14"/>
      <c r="I427" s="16"/>
    </row>
    <row r="428" spans="6:9" x14ac:dyDescent="0.2">
      <c r="F428" s="14"/>
      <c r="G428" s="14"/>
      <c r="H428" s="14"/>
      <c r="I428" s="16"/>
    </row>
    <row r="429" spans="6:9" x14ac:dyDescent="0.2">
      <c r="F429" s="14"/>
      <c r="G429" s="14"/>
      <c r="H429" s="14"/>
      <c r="I429" s="16"/>
    </row>
    <row r="430" spans="6:9" x14ac:dyDescent="0.2">
      <c r="F430" s="14"/>
      <c r="G430" s="14"/>
      <c r="H430" s="14"/>
      <c r="I430" s="16"/>
    </row>
    <row r="431" spans="6:9" x14ac:dyDescent="0.2">
      <c r="F431" s="14"/>
      <c r="G431" s="14"/>
      <c r="H431" s="14"/>
      <c r="I431" s="16"/>
    </row>
    <row r="432" spans="6:9" x14ac:dyDescent="0.2">
      <c r="F432" s="14"/>
      <c r="G432" s="14"/>
      <c r="H432" s="14"/>
      <c r="I432" s="16"/>
    </row>
    <row r="433" spans="6:9" x14ac:dyDescent="0.2">
      <c r="F433" s="14"/>
      <c r="G433" s="14"/>
      <c r="H433" s="14"/>
      <c r="I433" s="16"/>
    </row>
    <row r="434" spans="6:9" x14ac:dyDescent="0.2">
      <c r="F434" s="14"/>
      <c r="G434" s="14"/>
      <c r="H434" s="14"/>
      <c r="I434" s="16"/>
    </row>
    <row r="435" spans="6:9" x14ac:dyDescent="0.2">
      <c r="F435" s="14"/>
      <c r="G435" s="14"/>
      <c r="H435" s="14"/>
      <c r="I435" s="16"/>
    </row>
    <row r="436" spans="6:9" x14ac:dyDescent="0.2">
      <c r="F436" s="14"/>
      <c r="G436" s="14"/>
      <c r="H436" s="14"/>
      <c r="I436" s="16"/>
    </row>
    <row r="437" spans="6:9" x14ac:dyDescent="0.2">
      <c r="F437" s="14"/>
      <c r="G437" s="14"/>
      <c r="H437" s="14"/>
      <c r="I437" s="16"/>
    </row>
    <row r="438" spans="6:9" x14ac:dyDescent="0.2">
      <c r="F438" s="14"/>
      <c r="G438" s="14"/>
      <c r="H438" s="14"/>
      <c r="I438" s="16"/>
    </row>
    <row r="439" spans="6:9" x14ac:dyDescent="0.2">
      <c r="F439" s="14"/>
      <c r="G439" s="14"/>
      <c r="H439" s="14"/>
      <c r="I439" s="16"/>
    </row>
    <row r="440" spans="6:9" x14ac:dyDescent="0.2">
      <c r="F440" s="14"/>
      <c r="G440" s="14"/>
      <c r="H440" s="14"/>
      <c r="I440" s="16"/>
    </row>
    <row r="441" spans="6:9" x14ac:dyDescent="0.2">
      <c r="F441" s="14"/>
      <c r="G441" s="14"/>
      <c r="H441" s="14"/>
      <c r="I441" s="16"/>
    </row>
    <row r="442" spans="6:9" x14ac:dyDescent="0.2">
      <c r="F442" s="14"/>
      <c r="G442" s="14"/>
      <c r="H442" s="14"/>
      <c r="I442" s="16"/>
    </row>
    <row r="443" spans="6:9" x14ac:dyDescent="0.2">
      <c r="F443" s="14"/>
      <c r="G443" s="14"/>
      <c r="H443" s="14"/>
      <c r="I443" s="16"/>
    </row>
    <row r="444" spans="6:9" x14ac:dyDescent="0.2">
      <c r="F444" s="14"/>
      <c r="G444" s="14"/>
      <c r="H444" s="14"/>
      <c r="I444" s="16"/>
    </row>
    <row r="445" spans="6:9" x14ac:dyDescent="0.2">
      <c r="F445" s="14"/>
      <c r="G445" s="14"/>
      <c r="H445" s="14"/>
      <c r="I445" s="16"/>
    </row>
    <row r="446" spans="6:9" x14ac:dyDescent="0.2">
      <c r="F446" s="14"/>
      <c r="G446" s="14"/>
      <c r="H446" s="14"/>
      <c r="I446" s="16"/>
    </row>
    <row r="447" spans="6:9" x14ac:dyDescent="0.2">
      <c r="F447" s="14"/>
      <c r="G447" s="14"/>
      <c r="H447" s="14"/>
      <c r="I447" s="16"/>
    </row>
    <row r="448" spans="6:9" x14ac:dyDescent="0.2">
      <c r="F448" s="14"/>
      <c r="G448" s="14"/>
      <c r="H448" s="14"/>
      <c r="I448" s="16"/>
    </row>
    <row r="449" spans="6:9" x14ac:dyDescent="0.2">
      <c r="F449" s="14"/>
      <c r="G449" s="14"/>
      <c r="H449" s="14"/>
      <c r="I449" s="16"/>
    </row>
    <row r="450" spans="6:9" x14ac:dyDescent="0.2">
      <c r="F450" s="14"/>
      <c r="G450" s="14"/>
      <c r="H450" s="14"/>
      <c r="I450" s="16"/>
    </row>
    <row r="451" spans="6:9" x14ac:dyDescent="0.2">
      <c r="F451" s="14"/>
      <c r="G451" s="14"/>
      <c r="H451" s="14"/>
      <c r="I451" s="16"/>
    </row>
    <row r="452" spans="6:9" x14ac:dyDescent="0.2">
      <c r="F452" s="14"/>
      <c r="G452" s="14"/>
      <c r="H452" s="14"/>
      <c r="I452" s="16"/>
    </row>
    <row r="453" spans="6:9" x14ac:dyDescent="0.2">
      <c r="F453" s="14"/>
      <c r="G453" s="14"/>
      <c r="H453" s="14"/>
      <c r="I453" s="16"/>
    </row>
    <row r="454" spans="6:9" x14ac:dyDescent="0.2">
      <c r="F454" s="14"/>
      <c r="G454" s="14"/>
      <c r="H454" s="14"/>
      <c r="I454" s="16"/>
    </row>
    <row r="455" spans="6:9" x14ac:dyDescent="0.2">
      <c r="F455" s="14"/>
      <c r="G455" s="14"/>
      <c r="H455" s="14"/>
      <c r="I455" s="16"/>
    </row>
    <row r="456" spans="6:9" x14ac:dyDescent="0.2">
      <c r="F456" s="14"/>
      <c r="G456" s="14"/>
      <c r="H456" s="14"/>
      <c r="I456" s="16"/>
    </row>
    <row r="457" spans="6:9" x14ac:dyDescent="0.2">
      <c r="F457" s="14"/>
      <c r="G457" s="14"/>
      <c r="H457" s="14"/>
      <c r="I457" s="16"/>
    </row>
    <row r="458" spans="6:9" x14ac:dyDescent="0.2">
      <c r="F458" s="14"/>
      <c r="G458" s="14"/>
      <c r="H458" s="14"/>
      <c r="I458" s="16"/>
    </row>
    <row r="459" spans="6:9" x14ac:dyDescent="0.2">
      <c r="F459" s="14"/>
      <c r="G459" s="14"/>
      <c r="H459" s="14"/>
      <c r="I459" s="16"/>
    </row>
    <row r="460" spans="6:9" x14ac:dyDescent="0.2">
      <c r="F460" s="14"/>
      <c r="G460" s="14"/>
      <c r="H460" s="14"/>
      <c r="I460" s="16"/>
    </row>
    <row r="461" spans="6:9" x14ac:dyDescent="0.2">
      <c r="F461" s="14"/>
      <c r="G461" s="14"/>
      <c r="H461" s="14"/>
      <c r="I461" s="16"/>
    </row>
    <row r="462" spans="6:9" x14ac:dyDescent="0.2">
      <c r="F462" s="14"/>
      <c r="G462" s="14"/>
      <c r="H462" s="14"/>
      <c r="I462" s="16"/>
    </row>
    <row r="463" spans="6:9" x14ac:dyDescent="0.2">
      <c r="F463" s="14"/>
      <c r="G463" s="14"/>
      <c r="H463" s="14"/>
      <c r="I463" s="16"/>
    </row>
    <row r="464" spans="6:9" x14ac:dyDescent="0.2">
      <c r="F464" s="14"/>
      <c r="G464" s="14"/>
      <c r="H464" s="14"/>
      <c r="I464" s="16"/>
    </row>
    <row r="465" spans="6:9" x14ac:dyDescent="0.2">
      <c r="F465" s="14"/>
      <c r="G465" s="14"/>
      <c r="H465" s="14"/>
      <c r="I465" s="16"/>
    </row>
    <row r="466" spans="6:9" x14ac:dyDescent="0.2">
      <c r="F466" s="14"/>
      <c r="G466" s="14"/>
      <c r="H466" s="14"/>
      <c r="I466" s="16"/>
    </row>
    <row r="467" spans="6:9" x14ac:dyDescent="0.2">
      <c r="F467" s="14"/>
      <c r="G467" s="14"/>
      <c r="H467" s="14"/>
      <c r="I467" s="16"/>
    </row>
    <row r="468" spans="6:9" x14ac:dyDescent="0.2">
      <c r="F468" s="14"/>
      <c r="G468" s="14"/>
      <c r="H468" s="14"/>
      <c r="I468" s="16"/>
    </row>
    <row r="469" spans="6:9" x14ac:dyDescent="0.2">
      <c r="F469" s="14"/>
      <c r="G469" s="14"/>
      <c r="H469" s="14"/>
      <c r="I469" s="16"/>
    </row>
    <row r="470" spans="6:9" x14ac:dyDescent="0.2">
      <c r="F470" s="14"/>
      <c r="G470" s="14"/>
      <c r="H470" s="14"/>
      <c r="I470" s="16"/>
    </row>
    <row r="471" spans="6:9" x14ac:dyDescent="0.2">
      <c r="F471" s="14"/>
      <c r="G471" s="14"/>
      <c r="H471" s="14"/>
      <c r="I471" s="16"/>
    </row>
    <row r="472" spans="6:9" x14ac:dyDescent="0.2">
      <c r="F472" s="14"/>
      <c r="G472" s="14"/>
      <c r="H472" s="14"/>
      <c r="I472" s="16"/>
    </row>
    <row r="473" spans="6:9" x14ac:dyDescent="0.2">
      <c r="F473" s="14"/>
      <c r="G473" s="14"/>
      <c r="H473" s="14"/>
      <c r="I473" s="16"/>
    </row>
    <row r="474" spans="6:9" x14ac:dyDescent="0.2">
      <c r="F474" s="14"/>
      <c r="G474" s="14"/>
      <c r="H474" s="14"/>
      <c r="I474" s="16"/>
    </row>
    <row r="475" spans="6:9" x14ac:dyDescent="0.2">
      <c r="F475" s="14"/>
      <c r="G475" s="14"/>
      <c r="H475" s="14"/>
      <c r="I475" s="16"/>
    </row>
    <row r="476" spans="6:9" x14ac:dyDescent="0.2">
      <c r="F476" s="14"/>
      <c r="G476" s="14"/>
      <c r="H476" s="14"/>
      <c r="I476" s="16"/>
    </row>
    <row r="477" spans="6:9" x14ac:dyDescent="0.2">
      <c r="F477" s="14"/>
      <c r="G477" s="14"/>
      <c r="H477" s="14"/>
      <c r="I477" s="16"/>
    </row>
    <row r="478" spans="6:9" x14ac:dyDescent="0.2">
      <c r="F478" s="14"/>
      <c r="G478" s="14"/>
      <c r="H478" s="14"/>
      <c r="I478" s="16"/>
    </row>
    <row r="479" spans="6:9" x14ac:dyDescent="0.2">
      <c r="F479" s="14"/>
      <c r="G479" s="14"/>
      <c r="H479" s="14"/>
      <c r="I479" s="16"/>
    </row>
    <row r="480" spans="6:9" x14ac:dyDescent="0.2">
      <c r="F480" s="14"/>
      <c r="G480" s="14"/>
      <c r="H480" s="14"/>
      <c r="I480" s="16"/>
    </row>
    <row r="481" spans="6:9" x14ac:dyDescent="0.2">
      <c r="F481" s="14"/>
      <c r="G481" s="14"/>
      <c r="H481" s="14"/>
      <c r="I481" s="16"/>
    </row>
    <row r="482" spans="6:9" x14ac:dyDescent="0.2">
      <c r="F482" s="14"/>
      <c r="G482" s="14"/>
      <c r="H482" s="14"/>
      <c r="I482" s="16"/>
    </row>
    <row r="483" spans="6:9" x14ac:dyDescent="0.2">
      <c r="F483" s="14"/>
      <c r="G483" s="14"/>
      <c r="H483" s="14"/>
      <c r="I483" s="16"/>
    </row>
    <row r="484" spans="6:9" x14ac:dyDescent="0.2">
      <c r="F484" s="14"/>
      <c r="G484" s="14"/>
      <c r="H484" s="14"/>
      <c r="I484" s="16"/>
    </row>
    <row r="485" spans="6:9" x14ac:dyDescent="0.2">
      <c r="F485" s="14"/>
      <c r="G485" s="14"/>
      <c r="H485" s="14"/>
      <c r="I485" s="16"/>
    </row>
    <row r="486" spans="6:9" x14ac:dyDescent="0.2">
      <c r="F486" s="14"/>
      <c r="G486" s="14"/>
      <c r="H486" s="14"/>
      <c r="I486" s="16"/>
    </row>
    <row r="487" spans="6:9" x14ac:dyDescent="0.2">
      <c r="F487" s="14"/>
      <c r="G487" s="14"/>
      <c r="H487" s="14"/>
      <c r="I487" s="16"/>
    </row>
    <row r="488" spans="6:9" x14ac:dyDescent="0.2">
      <c r="F488" s="14"/>
      <c r="G488" s="14"/>
      <c r="H488" s="14"/>
      <c r="I488" s="16"/>
    </row>
    <row r="489" spans="6:9" x14ac:dyDescent="0.2">
      <c r="F489" s="14"/>
      <c r="G489" s="14"/>
      <c r="H489" s="14"/>
      <c r="I489" s="16"/>
    </row>
    <row r="490" spans="6:9" x14ac:dyDescent="0.2">
      <c r="F490" s="14"/>
      <c r="G490" s="14"/>
      <c r="H490" s="14"/>
      <c r="I490" s="16"/>
    </row>
    <row r="491" spans="6:9" x14ac:dyDescent="0.2">
      <c r="F491" s="14"/>
      <c r="G491" s="14"/>
      <c r="H491" s="14"/>
      <c r="I491" s="16"/>
    </row>
    <row r="492" spans="6:9" x14ac:dyDescent="0.2">
      <c r="F492" s="14"/>
      <c r="G492" s="14"/>
      <c r="H492" s="14"/>
      <c r="I492" s="16"/>
    </row>
    <row r="493" spans="6:9" x14ac:dyDescent="0.2">
      <c r="F493" s="14"/>
      <c r="G493" s="14"/>
      <c r="H493" s="14"/>
      <c r="I493" s="16"/>
    </row>
    <row r="494" spans="6:9" x14ac:dyDescent="0.2">
      <c r="F494" s="14"/>
      <c r="G494" s="14"/>
      <c r="H494" s="14"/>
      <c r="I494" s="16"/>
    </row>
    <row r="495" spans="6:9" x14ac:dyDescent="0.2">
      <c r="F495" s="14"/>
      <c r="G495" s="14"/>
      <c r="H495" s="14"/>
      <c r="I495" s="16"/>
    </row>
    <row r="496" spans="6:9" x14ac:dyDescent="0.2">
      <c r="F496" s="14"/>
      <c r="G496" s="14"/>
      <c r="H496" s="14"/>
      <c r="I496" s="16"/>
    </row>
    <row r="497" spans="6:9" x14ac:dyDescent="0.2">
      <c r="F497" s="14"/>
      <c r="G497" s="14"/>
      <c r="H497" s="14"/>
      <c r="I497" s="16"/>
    </row>
    <row r="498" spans="6:9" x14ac:dyDescent="0.2">
      <c r="F498" s="14"/>
      <c r="G498" s="14"/>
      <c r="H498" s="14"/>
      <c r="I498" s="16"/>
    </row>
    <row r="499" spans="6:9" x14ac:dyDescent="0.2">
      <c r="F499" s="14"/>
      <c r="G499" s="14"/>
      <c r="H499" s="14"/>
      <c r="I499" s="16"/>
    </row>
    <row r="500" spans="6:9" x14ac:dyDescent="0.2">
      <c r="F500" s="14"/>
      <c r="G500" s="14"/>
      <c r="H500" s="14"/>
      <c r="I500" s="16"/>
    </row>
    <row r="501" spans="6:9" x14ac:dyDescent="0.2">
      <c r="F501" s="14"/>
      <c r="G501" s="14"/>
      <c r="H501" s="14"/>
      <c r="I501" s="16"/>
    </row>
    <row r="502" spans="6:9" x14ac:dyDescent="0.2">
      <c r="F502" s="14"/>
      <c r="G502" s="14"/>
      <c r="H502" s="14"/>
      <c r="I502" s="16"/>
    </row>
    <row r="503" spans="6:9" x14ac:dyDescent="0.2">
      <c r="F503" s="14"/>
      <c r="G503" s="14"/>
      <c r="H503" s="14"/>
      <c r="I503" s="16"/>
    </row>
    <row r="504" spans="6:9" x14ac:dyDescent="0.2">
      <c r="F504" s="14"/>
      <c r="G504" s="14"/>
      <c r="H504" s="14"/>
      <c r="I504" s="16"/>
    </row>
    <row r="505" spans="6:9" x14ac:dyDescent="0.2">
      <c r="F505" s="14"/>
      <c r="G505" s="14"/>
      <c r="H505" s="14"/>
      <c r="I505" s="16"/>
    </row>
    <row r="506" spans="6:9" x14ac:dyDescent="0.2">
      <c r="F506" s="14"/>
      <c r="G506" s="14"/>
      <c r="H506" s="14"/>
      <c r="I506" s="16"/>
    </row>
    <row r="507" spans="6:9" x14ac:dyDescent="0.2">
      <c r="F507" s="14"/>
      <c r="G507" s="14"/>
      <c r="H507" s="14"/>
      <c r="I507" s="16"/>
    </row>
    <row r="508" spans="6:9" x14ac:dyDescent="0.2">
      <c r="F508" s="14"/>
      <c r="G508" s="14"/>
      <c r="H508" s="14"/>
      <c r="I508" s="16"/>
    </row>
    <row r="509" spans="6:9" x14ac:dyDescent="0.2">
      <c r="F509" s="14"/>
      <c r="G509" s="14"/>
      <c r="H509" s="14"/>
      <c r="I509" s="16"/>
    </row>
    <row r="510" spans="6:9" x14ac:dyDescent="0.2">
      <c r="F510" s="14"/>
      <c r="G510" s="14"/>
      <c r="H510" s="14"/>
      <c r="I510" s="16"/>
    </row>
    <row r="511" spans="6:9" x14ac:dyDescent="0.2">
      <c r="F511" s="14"/>
      <c r="G511" s="14"/>
      <c r="H511" s="14"/>
      <c r="I511" s="16"/>
    </row>
    <row r="512" spans="6:9" x14ac:dyDescent="0.2">
      <c r="F512" s="14"/>
      <c r="G512" s="14"/>
      <c r="H512" s="14"/>
      <c r="I512" s="16"/>
    </row>
    <row r="513" spans="6:9" x14ac:dyDescent="0.2">
      <c r="F513" s="14"/>
      <c r="G513" s="14"/>
      <c r="H513" s="14"/>
      <c r="I513" s="16"/>
    </row>
    <row r="514" spans="6:9" x14ac:dyDescent="0.2">
      <c r="F514" s="14"/>
      <c r="G514" s="14"/>
      <c r="H514" s="14"/>
      <c r="I514" s="16"/>
    </row>
    <row r="515" spans="6:9" x14ac:dyDescent="0.2">
      <c r="F515" s="14"/>
      <c r="G515" s="14"/>
      <c r="H515" s="14"/>
      <c r="I515" s="16"/>
    </row>
    <row r="516" spans="6:9" x14ac:dyDescent="0.2">
      <c r="F516" s="14"/>
      <c r="G516" s="14"/>
      <c r="H516" s="14"/>
      <c r="I516" s="16"/>
    </row>
    <row r="517" spans="6:9" x14ac:dyDescent="0.2">
      <c r="F517" s="14"/>
      <c r="G517" s="14"/>
      <c r="H517" s="14"/>
      <c r="I517" s="16"/>
    </row>
    <row r="518" spans="6:9" x14ac:dyDescent="0.2">
      <c r="F518" s="14"/>
      <c r="G518" s="14"/>
      <c r="H518" s="14"/>
      <c r="I518" s="16"/>
    </row>
    <row r="519" spans="6:9" x14ac:dyDescent="0.2">
      <c r="F519" s="14"/>
      <c r="G519" s="14"/>
      <c r="H519" s="14"/>
      <c r="I519" s="16"/>
    </row>
    <row r="520" spans="6:9" x14ac:dyDescent="0.2">
      <c r="F520" s="14"/>
      <c r="G520" s="14"/>
      <c r="H520" s="14"/>
      <c r="I520" s="16"/>
    </row>
    <row r="521" spans="6:9" x14ac:dyDescent="0.2">
      <c r="F521" s="14"/>
      <c r="G521" s="14"/>
      <c r="H521" s="14"/>
      <c r="I521" s="16"/>
    </row>
    <row r="522" spans="6:9" x14ac:dyDescent="0.2">
      <c r="F522" s="14"/>
      <c r="G522" s="14"/>
      <c r="H522" s="14"/>
      <c r="I522" s="16"/>
    </row>
    <row r="523" spans="6:9" x14ac:dyDescent="0.2">
      <c r="F523" s="14"/>
      <c r="G523" s="14"/>
      <c r="H523" s="14"/>
      <c r="I523" s="16"/>
    </row>
    <row r="524" spans="6:9" x14ac:dyDescent="0.2">
      <c r="F524" s="14"/>
      <c r="G524" s="14"/>
      <c r="H524" s="14"/>
      <c r="I524" s="16"/>
    </row>
    <row r="525" spans="6:9" x14ac:dyDescent="0.2">
      <c r="F525" s="14"/>
      <c r="G525" s="14"/>
      <c r="H525" s="14"/>
      <c r="I525" s="16"/>
    </row>
    <row r="526" spans="6:9" x14ac:dyDescent="0.2">
      <c r="F526" s="14"/>
      <c r="G526" s="14"/>
      <c r="H526" s="14"/>
      <c r="I526" s="16"/>
    </row>
    <row r="527" spans="6:9" x14ac:dyDescent="0.2">
      <c r="F527" s="14"/>
      <c r="G527" s="14"/>
      <c r="H527" s="14"/>
      <c r="I527" s="16"/>
    </row>
    <row r="528" spans="6:9" x14ac:dyDescent="0.2">
      <c r="F528" s="14"/>
      <c r="G528" s="14"/>
      <c r="H528" s="14"/>
      <c r="I528" s="16"/>
    </row>
    <row r="529" spans="6:9" x14ac:dyDescent="0.2">
      <c r="F529" s="14"/>
      <c r="G529" s="14"/>
      <c r="H529" s="14"/>
      <c r="I529" s="16"/>
    </row>
    <row r="530" spans="6:9" x14ac:dyDescent="0.2">
      <c r="F530" s="14"/>
      <c r="G530" s="14"/>
      <c r="H530" s="14"/>
      <c r="I530" s="16"/>
    </row>
    <row r="531" spans="6:9" x14ac:dyDescent="0.2">
      <c r="F531" s="14"/>
      <c r="G531" s="14"/>
      <c r="H531" s="14"/>
      <c r="I531" s="16"/>
    </row>
    <row r="532" spans="6:9" x14ac:dyDescent="0.2">
      <c r="F532" s="14"/>
      <c r="G532" s="14"/>
      <c r="H532" s="14"/>
      <c r="I532" s="16"/>
    </row>
    <row r="533" spans="6:9" x14ac:dyDescent="0.2">
      <c r="F533" s="14"/>
      <c r="G533" s="14"/>
      <c r="H533" s="14"/>
      <c r="I533" s="16"/>
    </row>
    <row r="534" spans="6:9" x14ac:dyDescent="0.2">
      <c r="F534" s="14"/>
      <c r="G534" s="14"/>
      <c r="H534" s="14"/>
      <c r="I534" s="16"/>
    </row>
    <row r="535" spans="6:9" x14ac:dyDescent="0.2">
      <c r="F535" s="14"/>
      <c r="G535" s="14"/>
      <c r="H535" s="14"/>
      <c r="I535" s="16"/>
    </row>
    <row r="536" spans="6:9" x14ac:dyDescent="0.2">
      <c r="F536" s="14"/>
      <c r="G536" s="14"/>
      <c r="H536" s="14"/>
      <c r="I536" s="16"/>
    </row>
    <row r="537" spans="6:9" x14ac:dyDescent="0.2">
      <c r="F537" s="14"/>
      <c r="G537" s="14"/>
      <c r="H537" s="14"/>
      <c r="I537" s="16"/>
    </row>
    <row r="538" spans="6:9" x14ac:dyDescent="0.2">
      <c r="F538" s="14"/>
      <c r="G538" s="14"/>
      <c r="H538" s="14"/>
      <c r="I538" s="16"/>
    </row>
    <row r="539" spans="6:9" x14ac:dyDescent="0.2">
      <c r="F539" s="14"/>
      <c r="G539" s="14"/>
      <c r="H539" s="14"/>
      <c r="I539" s="16"/>
    </row>
    <row r="540" spans="6:9" x14ac:dyDescent="0.2">
      <c r="F540" s="14"/>
      <c r="G540" s="14"/>
      <c r="H540" s="14"/>
      <c r="I540" s="16"/>
    </row>
    <row r="541" spans="6:9" x14ac:dyDescent="0.2">
      <c r="F541" s="14"/>
      <c r="G541" s="14"/>
      <c r="H541" s="14"/>
      <c r="I541" s="16"/>
    </row>
    <row r="542" spans="6:9" x14ac:dyDescent="0.2">
      <c r="F542" s="14"/>
      <c r="G542" s="14"/>
      <c r="H542" s="14"/>
      <c r="I542" s="16"/>
    </row>
    <row r="543" spans="6:9" x14ac:dyDescent="0.2">
      <c r="F543" s="14"/>
      <c r="G543" s="14"/>
      <c r="H543" s="14"/>
      <c r="I543" s="16"/>
    </row>
    <row r="544" spans="6:9" x14ac:dyDescent="0.2">
      <c r="F544" s="14"/>
      <c r="G544" s="14"/>
      <c r="H544" s="14"/>
      <c r="I544" s="16"/>
    </row>
    <row r="545" spans="6:9" x14ac:dyDescent="0.2">
      <c r="F545" s="14"/>
      <c r="G545" s="14"/>
      <c r="H545" s="14"/>
      <c r="I545" s="16"/>
    </row>
    <row r="546" spans="6:9" x14ac:dyDescent="0.2">
      <c r="F546" s="14"/>
      <c r="G546" s="14"/>
      <c r="H546" s="14"/>
      <c r="I546" s="16"/>
    </row>
    <row r="547" spans="6:9" x14ac:dyDescent="0.2">
      <c r="F547" s="14"/>
      <c r="G547" s="14"/>
      <c r="H547" s="14"/>
      <c r="I547" s="16"/>
    </row>
    <row r="548" spans="6:9" x14ac:dyDescent="0.2">
      <c r="F548" s="14"/>
      <c r="G548" s="14"/>
      <c r="H548" s="14"/>
      <c r="I548" s="16"/>
    </row>
    <row r="549" spans="6:9" x14ac:dyDescent="0.2">
      <c r="F549" s="14"/>
      <c r="G549" s="14"/>
      <c r="H549" s="14"/>
      <c r="I549" s="16"/>
    </row>
    <row r="550" spans="6:9" x14ac:dyDescent="0.2">
      <c r="F550" s="14"/>
      <c r="G550" s="14"/>
      <c r="H550" s="14"/>
      <c r="I550" s="16"/>
    </row>
    <row r="551" spans="6:9" x14ac:dyDescent="0.2">
      <c r="F551" s="14"/>
      <c r="G551" s="14"/>
      <c r="H551" s="14"/>
      <c r="I551" s="16"/>
    </row>
    <row r="552" spans="6:9" x14ac:dyDescent="0.2">
      <c r="F552" s="14"/>
      <c r="G552" s="14"/>
      <c r="H552" s="14"/>
      <c r="I552" s="16"/>
    </row>
    <row r="553" spans="6:9" x14ac:dyDescent="0.2">
      <c r="F553" s="14"/>
      <c r="G553" s="14"/>
      <c r="H553" s="14"/>
      <c r="I553" s="16"/>
    </row>
    <row r="554" spans="6:9" x14ac:dyDescent="0.2">
      <c r="F554" s="14"/>
      <c r="G554" s="14"/>
      <c r="H554" s="14"/>
      <c r="I554" s="16"/>
    </row>
    <row r="555" spans="6:9" x14ac:dyDescent="0.2">
      <c r="F555" s="14"/>
      <c r="G555" s="14"/>
      <c r="H555" s="14"/>
      <c r="I555" s="16"/>
    </row>
    <row r="556" spans="6:9" x14ac:dyDescent="0.2">
      <c r="F556" s="14"/>
      <c r="G556" s="14"/>
      <c r="H556" s="14"/>
      <c r="I556" s="16"/>
    </row>
    <row r="557" spans="6:9" x14ac:dyDescent="0.2">
      <c r="F557" s="14"/>
      <c r="G557" s="14"/>
      <c r="H557" s="14"/>
      <c r="I557" s="16"/>
    </row>
    <row r="558" spans="6:9" x14ac:dyDescent="0.2">
      <c r="F558" s="14"/>
      <c r="G558" s="14"/>
      <c r="H558" s="14"/>
      <c r="I558" s="16"/>
    </row>
    <row r="559" spans="6:9" x14ac:dyDescent="0.2">
      <c r="F559" s="14"/>
      <c r="G559" s="14"/>
      <c r="H559" s="14"/>
      <c r="I559" s="16"/>
    </row>
    <row r="560" spans="6:9" x14ac:dyDescent="0.2">
      <c r="F560" s="14"/>
      <c r="G560" s="14"/>
      <c r="H560" s="14"/>
      <c r="I560" s="16"/>
    </row>
    <row r="561" spans="6:9" x14ac:dyDescent="0.2">
      <c r="F561" s="14"/>
      <c r="G561" s="14"/>
      <c r="H561" s="14"/>
      <c r="I561" s="16"/>
    </row>
    <row r="562" spans="6:9" x14ac:dyDescent="0.2">
      <c r="F562" s="14"/>
      <c r="G562" s="14"/>
      <c r="H562" s="14"/>
      <c r="I562" s="16"/>
    </row>
    <row r="563" spans="6:9" x14ac:dyDescent="0.2">
      <c r="F563" s="14"/>
      <c r="G563" s="14"/>
      <c r="H563" s="14"/>
      <c r="I563" s="16"/>
    </row>
    <row r="564" spans="6:9" x14ac:dyDescent="0.2">
      <c r="F564" s="14"/>
      <c r="G564" s="14"/>
      <c r="H564" s="14"/>
      <c r="I564" s="16"/>
    </row>
    <row r="565" spans="6:9" x14ac:dyDescent="0.2">
      <c r="F565" s="14"/>
      <c r="G565" s="14"/>
      <c r="H565" s="14"/>
      <c r="I565" s="16"/>
    </row>
    <row r="566" spans="6:9" x14ac:dyDescent="0.2">
      <c r="F566" s="14"/>
      <c r="G566" s="14"/>
      <c r="H566" s="14"/>
      <c r="I566" s="16"/>
    </row>
    <row r="567" spans="6:9" x14ac:dyDescent="0.2">
      <c r="F567" s="14"/>
      <c r="G567" s="14"/>
      <c r="H567" s="14"/>
      <c r="I567" s="16"/>
    </row>
    <row r="568" spans="6:9" x14ac:dyDescent="0.2">
      <c r="F568" s="14"/>
      <c r="G568" s="14"/>
      <c r="H568" s="14"/>
      <c r="I568" s="16"/>
    </row>
    <row r="569" spans="6:9" x14ac:dyDescent="0.2">
      <c r="F569" s="14"/>
      <c r="G569" s="14"/>
      <c r="H569" s="14"/>
      <c r="I569" s="16"/>
    </row>
    <row r="570" spans="6:9" x14ac:dyDescent="0.2">
      <c r="F570" s="14"/>
      <c r="G570" s="14"/>
      <c r="H570" s="14"/>
      <c r="I570" s="16"/>
    </row>
    <row r="571" spans="6:9" x14ac:dyDescent="0.2">
      <c r="F571" s="14"/>
      <c r="G571" s="14"/>
      <c r="H571" s="14"/>
      <c r="I571" s="16"/>
    </row>
    <row r="572" spans="6:9" x14ac:dyDescent="0.2">
      <c r="F572" s="14"/>
      <c r="G572" s="14"/>
      <c r="H572" s="14"/>
      <c r="I572" s="16"/>
    </row>
    <row r="573" spans="6:9" x14ac:dyDescent="0.2">
      <c r="F573" s="14"/>
      <c r="G573" s="14"/>
      <c r="H573" s="14"/>
      <c r="I573" s="16"/>
    </row>
    <row r="574" spans="6:9" x14ac:dyDescent="0.2">
      <c r="F574" s="14"/>
      <c r="G574" s="14"/>
      <c r="H574" s="14"/>
      <c r="I574" s="16"/>
    </row>
    <row r="575" spans="6:9" x14ac:dyDescent="0.2">
      <c r="F575" s="14"/>
      <c r="G575" s="14"/>
      <c r="H575" s="14"/>
      <c r="I575" s="16"/>
    </row>
    <row r="576" spans="6:9" x14ac:dyDescent="0.2">
      <c r="F576" s="14"/>
      <c r="G576" s="14"/>
      <c r="H576" s="14"/>
      <c r="I576" s="16"/>
    </row>
    <row r="577" spans="6:9" x14ac:dyDescent="0.2">
      <c r="F577" s="14"/>
      <c r="G577" s="14"/>
      <c r="H577" s="14"/>
      <c r="I577" s="16"/>
    </row>
    <row r="578" spans="6:9" x14ac:dyDescent="0.2">
      <c r="F578" s="14"/>
      <c r="G578" s="14"/>
      <c r="H578" s="14"/>
      <c r="I578" s="16"/>
    </row>
    <row r="579" spans="6:9" x14ac:dyDescent="0.2">
      <c r="F579" s="14"/>
      <c r="G579" s="14"/>
      <c r="H579" s="14"/>
      <c r="I579" s="16"/>
    </row>
    <row r="580" spans="6:9" x14ac:dyDescent="0.2">
      <c r="F580" s="14"/>
      <c r="G580" s="14"/>
      <c r="H580" s="14"/>
      <c r="I580" s="16"/>
    </row>
    <row r="581" spans="6:9" x14ac:dyDescent="0.2">
      <c r="F581" s="14"/>
      <c r="G581" s="14"/>
      <c r="H581" s="14"/>
      <c r="I581" s="16"/>
    </row>
    <row r="582" spans="6:9" x14ac:dyDescent="0.2">
      <c r="F582" s="14"/>
      <c r="G582" s="14"/>
      <c r="H582" s="14"/>
      <c r="I582" s="16"/>
    </row>
    <row r="583" spans="6:9" x14ac:dyDescent="0.2">
      <c r="F583" s="14"/>
      <c r="G583" s="14"/>
      <c r="H583" s="14"/>
      <c r="I583" s="16"/>
    </row>
    <row r="584" spans="6:9" x14ac:dyDescent="0.2">
      <c r="F584" s="14"/>
      <c r="G584" s="14"/>
      <c r="H584" s="14"/>
      <c r="I584" s="16"/>
    </row>
    <row r="585" spans="6:9" x14ac:dyDescent="0.2">
      <c r="F585" s="14"/>
      <c r="G585" s="14"/>
      <c r="H585" s="14"/>
      <c r="I585" s="16"/>
    </row>
    <row r="586" spans="6:9" x14ac:dyDescent="0.2">
      <c r="F586" s="14"/>
      <c r="G586" s="14"/>
      <c r="H586" s="14"/>
      <c r="I586" s="16"/>
    </row>
    <row r="587" spans="6:9" x14ac:dyDescent="0.2">
      <c r="F587" s="14"/>
      <c r="G587" s="14"/>
      <c r="H587" s="14"/>
      <c r="I587" s="16"/>
    </row>
    <row r="588" spans="6:9" x14ac:dyDescent="0.2">
      <c r="F588" s="14"/>
      <c r="G588" s="14"/>
      <c r="H588" s="14"/>
      <c r="I588" s="16"/>
    </row>
    <row r="589" spans="6:9" x14ac:dyDescent="0.2">
      <c r="F589" s="14"/>
      <c r="G589" s="14"/>
      <c r="H589" s="14"/>
      <c r="I589" s="16"/>
    </row>
    <row r="590" spans="6:9" x14ac:dyDescent="0.2">
      <c r="F590" s="14"/>
      <c r="G590" s="14"/>
      <c r="H590" s="14"/>
      <c r="I590" s="16"/>
    </row>
    <row r="591" spans="6:9" x14ac:dyDescent="0.2">
      <c r="F591" s="14"/>
      <c r="G591" s="14"/>
      <c r="H591" s="14"/>
      <c r="I591" s="16"/>
    </row>
    <row r="592" spans="6:9" x14ac:dyDescent="0.2">
      <c r="F592" s="14"/>
      <c r="G592" s="14"/>
      <c r="H592" s="14"/>
      <c r="I592" s="16"/>
    </row>
    <row r="593" spans="6:9" x14ac:dyDescent="0.2">
      <c r="F593" s="14"/>
      <c r="G593" s="14"/>
      <c r="H593" s="14"/>
      <c r="I593" s="16"/>
    </row>
    <row r="594" spans="6:9" x14ac:dyDescent="0.2">
      <c r="F594" s="14"/>
      <c r="G594" s="14"/>
      <c r="H594" s="14"/>
      <c r="I594" s="16"/>
    </row>
    <row r="595" spans="6:9" x14ac:dyDescent="0.2">
      <c r="F595" s="14"/>
      <c r="G595" s="14"/>
      <c r="H595" s="14"/>
      <c r="I595" s="16"/>
    </row>
    <row r="596" spans="6:9" x14ac:dyDescent="0.2">
      <c r="F596" s="14"/>
      <c r="G596" s="14"/>
      <c r="H596" s="14"/>
      <c r="I596" s="16"/>
    </row>
    <row r="597" spans="6:9" x14ac:dyDescent="0.2">
      <c r="F597" s="14"/>
      <c r="G597" s="14"/>
      <c r="H597" s="14"/>
      <c r="I597" s="16"/>
    </row>
    <row r="598" spans="6:9" x14ac:dyDescent="0.2">
      <c r="F598" s="14"/>
      <c r="G598" s="14"/>
      <c r="H598" s="14"/>
      <c r="I598" s="16"/>
    </row>
    <row r="599" spans="6:9" x14ac:dyDescent="0.2">
      <c r="F599" s="14"/>
      <c r="G599" s="14"/>
      <c r="H599" s="14"/>
      <c r="I599" s="16"/>
    </row>
    <row r="600" spans="6:9" x14ac:dyDescent="0.2">
      <c r="F600" s="14"/>
      <c r="G600" s="14"/>
      <c r="H600" s="14"/>
      <c r="I600" s="16"/>
    </row>
    <row r="601" spans="6:9" x14ac:dyDescent="0.2">
      <c r="F601" s="14"/>
      <c r="G601" s="14"/>
      <c r="H601" s="14"/>
      <c r="I601" s="16"/>
    </row>
    <row r="602" spans="6:9" x14ac:dyDescent="0.2">
      <c r="F602" s="14"/>
      <c r="G602" s="14"/>
      <c r="H602" s="14"/>
      <c r="I602" s="16"/>
    </row>
    <row r="603" spans="6:9" x14ac:dyDescent="0.2">
      <c r="F603" s="14"/>
      <c r="G603" s="14"/>
      <c r="H603" s="14"/>
      <c r="I603" s="16"/>
    </row>
    <row r="604" spans="6:9" x14ac:dyDescent="0.2">
      <c r="F604" s="14"/>
      <c r="G604" s="14"/>
      <c r="H604" s="14"/>
      <c r="I604" s="16"/>
    </row>
    <row r="605" spans="6:9" x14ac:dyDescent="0.2">
      <c r="F605" s="14"/>
      <c r="G605" s="14"/>
      <c r="H605" s="14"/>
      <c r="I605" s="16"/>
    </row>
    <row r="606" spans="6:9" x14ac:dyDescent="0.2">
      <c r="F606" s="14"/>
      <c r="G606" s="14"/>
      <c r="H606" s="14"/>
      <c r="I606" s="16"/>
    </row>
    <row r="607" spans="6:9" x14ac:dyDescent="0.2">
      <c r="F607" s="14"/>
      <c r="G607" s="14"/>
      <c r="H607" s="14"/>
      <c r="I607" s="16"/>
    </row>
    <row r="608" spans="6:9" x14ac:dyDescent="0.2">
      <c r="F608" s="14"/>
      <c r="G608" s="14"/>
      <c r="H608" s="14"/>
      <c r="I608" s="16"/>
    </row>
    <row r="609" spans="6:9" x14ac:dyDescent="0.2">
      <c r="F609" s="14"/>
      <c r="G609" s="14"/>
      <c r="H609" s="14"/>
      <c r="I609" s="16"/>
    </row>
    <row r="610" spans="6:9" x14ac:dyDescent="0.2">
      <c r="F610" s="14"/>
      <c r="G610" s="14"/>
      <c r="H610" s="14"/>
      <c r="I610" s="16"/>
    </row>
    <row r="611" spans="6:9" x14ac:dyDescent="0.2">
      <c r="F611" s="14"/>
      <c r="G611" s="14"/>
      <c r="H611" s="14"/>
      <c r="I611" s="16"/>
    </row>
    <row r="612" spans="6:9" x14ac:dyDescent="0.2">
      <c r="F612" s="14"/>
      <c r="G612" s="14"/>
      <c r="H612" s="14"/>
      <c r="I612" s="16"/>
    </row>
    <row r="613" spans="6:9" x14ac:dyDescent="0.2">
      <c r="F613" s="14"/>
      <c r="G613" s="14"/>
      <c r="H613" s="14"/>
      <c r="I613" s="16"/>
    </row>
    <row r="614" spans="6:9" x14ac:dyDescent="0.2">
      <c r="F614" s="14"/>
      <c r="G614" s="14"/>
      <c r="H614" s="14"/>
      <c r="I614" s="16"/>
    </row>
    <row r="615" spans="6:9" x14ac:dyDescent="0.2">
      <c r="F615" s="14"/>
      <c r="G615" s="14"/>
      <c r="H615" s="14"/>
      <c r="I615" s="16"/>
    </row>
    <row r="616" spans="6:9" x14ac:dyDescent="0.2">
      <c r="F616" s="14"/>
      <c r="G616" s="14"/>
      <c r="H616" s="14"/>
      <c r="I616" s="16"/>
    </row>
    <row r="617" spans="6:9" x14ac:dyDescent="0.2">
      <c r="F617" s="14"/>
      <c r="G617" s="14"/>
      <c r="H617" s="14"/>
      <c r="I617" s="16"/>
    </row>
    <row r="618" spans="6:9" x14ac:dyDescent="0.2">
      <c r="F618" s="14"/>
      <c r="G618" s="14"/>
      <c r="H618" s="14"/>
      <c r="I618" s="16"/>
    </row>
    <row r="619" spans="6:9" x14ac:dyDescent="0.2">
      <c r="F619" s="14"/>
      <c r="G619" s="14"/>
      <c r="H619" s="14"/>
      <c r="I619" s="16"/>
    </row>
    <row r="620" spans="6:9" x14ac:dyDescent="0.2">
      <c r="F620" s="14"/>
      <c r="G620" s="14"/>
      <c r="H620" s="14"/>
      <c r="I620" s="16"/>
    </row>
    <row r="621" spans="6:9" x14ac:dyDescent="0.2">
      <c r="F621" s="14"/>
      <c r="G621" s="14"/>
      <c r="H621" s="14"/>
      <c r="I621" s="16"/>
    </row>
    <row r="622" spans="6:9" x14ac:dyDescent="0.2">
      <c r="F622" s="14"/>
      <c r="G622" s="14"/>
      <c r="H622" s="14"/>
      <c r="I622" s="16"/>
    </row>
    <row r="623" spans="6:9" x14ac:dyDescent="0.2">
      <c r="F623" s="14"/>
      <c r="G623" s="14"/>
      <c r="H623" s="14"/>
      <c r="I623" s="16"/>
    </row>
    <row r="624" spans="6:9" x14ac:dyDescent="0.2">
      <c r="F624" s="14"/>
      <c r="G624" s="14"/>
      <c r="H624" s="14"/>
      <c r="I624" s="16"/>
    </row>
    <row r="625" spans="6:9" x14ac:dyDescent="0.2">
      <c r="F625" s="14"/>
      <c r="G625" s="14"/>
      <c r="H625" s="14"/>
      <c r="I625" s="16"/>
    </row>
    <row r="626" spans="6:9" x14ac:dyDescent="0.2">
      <c r="F626" s="14"/>
      <c r="G626" s="14"/>
      <c r="H626" s="14"/>
      <c r="I626" s="16"/>
    </row>
    <row r="627" spans="6:9" x14ac:dyDescent="0.2">
      <c r="F627" s="14"/>
      <c r="G627" s="14"/>
      <c r="H627" s="14"/>
      <c r="I627" s="16"/>
    </row>
    <row r="628" spans="6:9" x14ac:dyDescent="0.2">
      <c r="F628" s="14"/>
      <c r="G628" s="14"/>
      <c r="H628" s="14"/>
      <c r="I628" s="16"/>
    </row>
    <row r="629" spans="6:9" x14ac:dyDescent="0.2">
      <c r="F629" s="14"/>
      <c r="G629" s="14"/>
      <c r="H629" s="14"/>
      <c r="I629" s="16"/>
    </row>
    <row r="630" spans="6:9" x14ac:dyDescent="0.2">
      <c r="F630" s="14"/>
      <c r="G630" s="14"/>
      <c r="H630" s="14"/>
      <c r="I630" s="16"/>
    </row>
    <row r="631" spans="6:9" x14ac:dyDescent="0.2">
      <c r="F631" s="14"/>
      <c r="G631" s="14"/>
      <c r="H631" s="14"/>
      <c r="I631" s="16"/>
    </row>
    <row r="632" spans="6:9" x14ac:dyDescent="0.2">
      <c r="F632" s="14"/>
      <c r="G632" s="14"/>
      <c r="H632" s="14"/>
      <c r="I632" s="16"/>
    </row>
    <row r="633" spans="6:9" x14ac:dyDescent="0.2">
      <c r="F633" s="14"/>
      <c r="G633" s="14"/>
      <c r="H633" s="14"/>
      <c r="I633" s="16"/>
    </row>
    <row r="634" spans="6:9" x14ac:dyDescent="0.2">
      <c r="F634" s="14"/>
      <c r="G634" s="14"/>
      <c r="H634" s="14"/>
      <c r="I634" s="16"/>
    </row>
    <row r="635" spans="6:9" x14ac:dyDescent="0.2">
      <c r="F635" s="14"/>
      <c r="G635" s="14"/>
      <c r="H635" s="14"/>
      <c r="I635" s="16"/>
    </row>
    <row r="636" spans="6:9" x14ac:dyDescent="0.2">
      <c r="F636" s="14"/>
      <c r="G636" s="14"/>
      <c r="H636" s="14"/>
      <c r="I636" s="16"/>
    </row>
    <row r="637" spans="6:9" x14ac:dyDescent="0.2">
      <c r="F637" s="14"/>
      <c r="G637" s="14"/>
      <c r="H637" s="14"/>
      <c r="I637" s="16"/>
    </row>
    <row r="638" spans="6:9" x14ac:dyDescent="0.2">
      <c r="F638" s="14"/>
      <c r="G638" s="14"/>
      <c r="H638" s="14"/>
      <c r="I638" s="16"/>
    </row>
    <row r="639" spans="6:9" x14ac:dyDescent="0.2">
      <c r="F639" s="14"/>
      <c r="G639" s="14"/>
      <c r="H639" s="14"/>
      <c r="I639" s="16"/>
    </row>
    <row r="640" spans="6:9" x14ac:dyDescent="0.2">
      <c r="F640" s="14"/>
      <c r="G640" s="14"/>
      <c r="H640" s="14"/>
      <c r="I640" s="16"/>
    </row>
    <row r="641" spans="6:9" x14ac:dyDescent="0.2">
      <c r="F641" s="14"/>
      <c r="G641" s="14"/>
      <c r="H641" s="14"/>
      <c r="I641" s="16"/>
    </row>
    <row r="642" spans="6:9" x14ac:dyDescent="0.2">
      <c r="F642" s="14"/>
      <c r="G642" s="14"/>
      <c r="H642" s="14"/>
      <c r="I642" s="16"/>
    </row>
    <row r="643" spans="6:9" x14ac:dyDescent="0.2">
      <c r="F643" s="14"/>
      <c r="G643" s="14"/>
      <c r="H643" s="14"/>
      <c r="I643" s="16"/>
    </row>
    <row r="644" spans="6:9" x14ac:dyDescent="0.2">
      <c r="F644" s="14"/>
      <c r="G644" s="14"/>
      <c r="H644" s="14"/>
      <c r="I644" s="16"/>
    </row>
    <row r="645" spans="6:9" x14ac:dyDescent="0.2">
      <c r="F645" s="14"/>
      <c r="G645" s="14"/>
      <c r="H645" s="14"/>
      <c r="I645" s="16"/>
    </row>
    <row r="646" spans="6:9" x14ac:dyDescent="0.2">
      <c r="F646" s="14"/>
      <c r="G646" s="14"/>
      <c r="H646" s="14"/>
      <c r="I646" s="16"/>
    </row>
    <row r="647" spans="6:9" x14ac:dyDescent="0.2">
      <c r="F647" s="14"/>
      <c r="G647" s="14"/>
      <c r="H647" s="14"/>
      <c r="I647" s="16"/>
    </row>
    <row r="648" spans="6:9" x14ac:dyDescent="0.2">
      <c r="F648" s="14"/>
      <c r="G648" s="14"/>
      <c r="H648" s="14"/>
      <c r="I648" s="16"/>
    </row>
    <row r="649" spans="6:9" x14ac:dyDescent="0.2">
      <c r="F649" s="14"/>
      <c r="G649" s="14"/>
      <c r="H649" s="14"/>
      <c r="I649" s="16"/>
    </row>
    <row r="650" spans="6:9" x14ac:dyDescent="0.2">
      <c r="F650" s="14"/>
      <c r="G650" s="14"/>
      <c r="H650" s="14"/>
      <c r="I650" s="16"/>
    </row>
    <row r="651" spans="6:9" x14ac:dyDescent="0.2">
      <c r="F651" s="14"/>
      <c r="G651" s="14"/>
      <c r="H651" s="14"/>
      <c r="I651" s="16"/>
    </row>
    <row r="652" spans="6:9" x14ac:dyDescent="0.2">
      <c r="F652" s="14"/>
      <c r="G652" s="14"/>
      <c r="H652" s="14"/>
      <c r="I652" s="16"/>
    </row>
    <row r="653" spans="6:9" x14ac:dyDescent="0.2">
      <c r="F653" s="14"/>
      <c r="G653" s="14"/>
      <c r="H653" s="14"/>
      <c r="I653" s="16"/>
    </row>
    <row r="654" spans="6:9" x14ac:dyDescent="0.2">
      <c r="F654" s="14"/>
      <c r="G654" s="14"/>
      <c r="H654" s="14"/>
      <c r="I654" s="16"/>
    </row>
    <row r="655" spans="6:9" x14ac:dyDescent="0.2">
      <c r="F655" s="14"/>
      <c r="G655" s="14"/>
      <c r="H655" s="14"/>
      <c r="I655" s="16"/>
    </row>
    <row r="656" spans="6:9" x14ac:dyDescent="0.2">
      <c r="F656" s="14"/>
      <c r="G656" s="14"/>
      <c r="H656" s="14"/>
      <c r="I656" s="16"/>
    </row>
    <row r="657" spans="6:9" x14ac:dyDescent="0.2">
      <c r="F657" s="14"/>
      <c r="G657" s="14"/>
      <c r="H657" s="14"/>
      <c r="I657" s="16"/>
    </row>
    <row r="658" spans="6:9" x14ac:dyDescent="0.2">
      <c r="F658" s="14"/>
      <c r="G658" s="14"/>
      <c r="H658" s="14"/>
      <c r="I658" s="16"/>
    </row>
    <row r="659" spans="6:9" x14ac:dyDescent="0.2">
      <c r="F659" s="14"/>
      <c r="G659" s="14"/>
      <c r="H659" s="14"/>
      <c r="I659" s="16"/>
    </row>
    <row r="660" spans="6:9" x14ac:dyDescent="0.2">
      <c r="F660" s="14"/>
      <c r="G660" s="14"/>
      <c r="H660" s="14"/>
      <c r="I660" s="16"/>
    </row>
    <row r="661" spans="6:9" x14ac:dyDescent="0.2">
      <c r="F661" s="14"/>
      <c r="G661" s="14"/>
      <c r="H661" s="14"/>
      <c r="I661" s="16"/>
    </row>
    <row r="662" spans="6:9" x14ac:dyDescent="0.2">
      <c r="F662" s="14"/>
      <c r="G662" s="14"/>
      <c r="H662" s="14"/>
      <c r="I662" s="16"/>
    </row>
    <row r="663" spans="6:9" x14ac:dyDescent="0.2">
      <c r="F663" s="14"/>
      <c r="G663" s="14"/>
      <c r="H663" s="14"/>
      <c r="I663" s="16"/>
    </row>
    <row r="664" spans="6:9" x14ac:dyDescent="0.2">
      <c r="F664" s="14"/>
      <c r="G664" s="14"/>
      <c r="H664" s="14"/>
      <c r="I664" s="16"/>
    </row>
    <row r="665" spans="6:9" x14ac:dyDescent="0.2">
      <c r="F665" s="14"/>
      <c r="G665" s="14"/>
      <c r="H665" s="14"/>
      <c r="I665" s="16"/>
    </row>
    <row r="666" spans="6:9" x14ac:dyDescent="0.2">
      <c r="F666" s="14"/>
      <c r="G666" s="14"/>
      <c r="H666" s="14"/>
      <c r="I666" s="16"/>
    </row>
    <row r="667" spans="6:9" x14ac:dyDescent="0.2">
      <c r="F667" s="14"/>
      <c r="G667" s="14"/>
      <c r="H667" s="14"/>
      <c r="I667" s="16"/>
    </row>
    <row r="668" spans="6:9" x14ac:dyDescent="0.2">
      <c r="F668" s="14"/>
      <c r="G668" s="14"/>
      <c r="H668" s="14"/>
      <c r="I668" s="16"/>
    </row>
    <row r="669" spans="6:9" x14ac:dyDescent="0.2">
      <c r="F669" s="14"/>
      <c r="G669" s="14"/>
      <c r="H669" s="14"/>
      <c r="I669" s="16"/>
    </row>
    <row r="670" spans="6:9" x14ac:dyDescent="0.2">
      <c r="F670" s="14"/>
      <c r="G670" s="14"/>
      <c r="H670" s="14"/>
      <c r="I670" s="16"/>
    </row>
    <row r="671" spans="6:9" x14ac:dyDescent="0.2">
      <c r="F671" s="14"/>
      <c r="G671" s="14"/>
      <c r="H671" s="14"/>
      <c r="I671" s="16"/>
    </row>
    <row r="672" spans="6:9" x14ac:dyDescent="0.2">
      <c r="F672" s="14"/>
      <c r="G672" s="14"/>
      <c r="H672" s="14"/>
      <c r="I672" s="16"/>
    </row>
    <row r="673" spans="6:9" x14ac:dyDescent="0.2">
      <c r="F673" s="14"/>
      <c r="G673" s="14"/>
      <c r="H673" s="14"/>
      <c r="I673" s="16"/>
    </row>
    <row r="674" spans="6:9" x14ac:dyDescent="0.2">
      <c r="F674" s="14"/>
      <c r="G674" s="14"/>
      <c r="H674" s="14"/>
      <c r="I674" s="16"/>
    </row>
    <row r="675" spans="6:9" x14ac:dyDescent="0.2">
      <c r="F675" s="14"/>
      <c r="G675" s="14"/>
      <c r="H675" s="14"/>
      <c r="I675" s="16"/>
    </row>
    <row r="676" spans="6:9" x14ac:dyDescent="0.2">
      <c r="F676" s="14"/>
      <c r="G676" s="14"/>
      <c r="H676" s="14"/>
      <c r="I676" s="16"/>
    </row>
    <row r="677" spans="6:9" x14ac:dyDescent="0.2">
      <c r="F677" s="14"/>
      <c r="G677" s="14"/>
      <c r="H677" s="14"/>
      <c r="I677" s="16"/>
    </row>
    <row r="678" spans="6:9" x14ac:dyDescent="0.2">
      <c r="F678" s="14"/>
      <c r="G678" s="14"/>
      <c r="H678" s="14"/>
      <c r="I678" s="16"/>
    </row>
    <row r="679" spans="6:9" x14ac:dyDescent="0.2">
      <c r="F679" s="14"/>
      <c r="G679" s="14"/>
      <c r="H679" s="14"/>
      <c r="I679" s="16"/>
    </row>
    <row r="680" spans="6:9" x14ac:dyDescent="0.2">
      <c r="F680" s="14"/>
      <c r="G680" s="14"/>
      <c r="H680" s="14"/>
      <c r="I680" s="16"/>
    </row>
    <row r="681" spans="6:9" x14ac:dyDescent="0.2">
      <c r="F681" s="14"/>
      <c r="G681" s="14"/>
      <c r="H681" s="14"/>
      <c r="I681" s="16"/>
    </row>
    <row r="682" spans="6:9" x14ac:dyDescent="0.2">
      <c r="F682" s="14"/>
      <c r="G682" s="14"/>
      <c r="H682" s="14"/>
      <c r="I682" s="16"/>
    </row>
    <row r="683" spans="6:9" x14ac:dyDescent="0.2">
      <c r="F683" s="14"/>
      <c r="G683" s="14"/>
      <c r="H683" s="14"/>
      <c r="I683" s="16"/>
    </row>
    <row r="684" spans="6:9" x14ac:dyDescent="0.2">
      <c r="F684" s="14"/>
      <c r="G684" s="14"/>
      <c r="H684" s="14"/>
      <c r="I684" s="16"/>
    </row>
    <row r="685" spans="6:9" x14ac:dyDescent="0.2">
      <c r="F685" s="14"/>
      <c r="G685" s="14"/>
      <c r="H685" s="14"/>
      <c r="I685" s="16"/>
    </row>
    <row r="686" spans="6:9" x14ac:dyDescent="0.2">
      <c r="F686" s="14"/>
      <c r="G686" s="14"/>
      <c r="H686" s="14"/>
      <c r="I686" s="16"/>
    </row>
    <row r="687" spans="6:9" x14ac:dyDescent="0.2">
      <c r="F687" s="14"/>
      <c r="G687" s="14"/>
      <c r="H687" s="14"/>
      <c r="I687" s="16"/>
    </row>
    <row r="688" spans="6:9" x14ac:dyDescent="0.2">
      <c r="F688" s="14"/>
      <c r="G688" s="14"/>
      <c r="H688" s="14"/>
      <c r="I688" s="16"/>
    </row>
    <row r="689" spans="6:9" x14ac:dyDescent="0.2">
      <c r="F689" s="14"/>
      <c r="G689" s="14"/>
      <c r="H689" s="14"/>
      <c r="I689" s="16"/>
    </row>
    <row r="690" spans="6:9" x14ac:dyDescent="0.2">
      <c r="F690" s="14"/>
      <c r="G690" s="14"/>
      <c r="H690" s="14"/>
      <c r="I690" s="16"/>
    </row>
    <row r="691" spans="6:9" x14ac:dyDescent="0.2">
      <c r="F691" s="14"/>
      <c r="G691" s="14"/>
      <c r="H691" s="14"/>
      <c r="I691" s="16"/>
    </row>
    <row r="692" spans="6:9" x14ac:dyDescent="0.2">
      <c r="F692" s="14"/>
      <c r="G692" s="14"/>
      <c r="H692" s="14"/>
      <c r="I692" s="16"/>
    </row>
    <row r="693" spans="6:9" x14ac:dyDescent="0.2">
      <c r="F693" s="14"/>
      <c r="G693" s="14"/>
      <c r="H693" s="14"/>
      <c r="I693" s="16"/>
    </row>
    <row r="694" spans="6:9" x14ac:dyDescent="0.2">
      <c r="F694" s="14"/>
      <c r="G694" s="14"/>
      <c r="H694" s="14"/>
      <c r="I694" s="16"/>
    </row>
    <row r="695" spans="6:9" x14ac:dyDescent="0.2">
      <c r="F695" s="14"/>
      <c r="G695" s="14"/>
      <c r="H695" s="14"/>
      <c r="I695" s="16"/>
    </row>
    <row r="696" spans="6:9" x14ac:dyDescent="0.2">
      <c r="F696" s="14"/>
      <c r="G696" s="14"/>
      <c r="H696" s="14"/>
      <c r="I696" s="16"/>
    </row>
    <row r="697" spans="6:9" x14ac:dyDescent="0.2">
      <c r="F697" s="14"/>
      <c r="G697" s="14"/>
      <c r="H697" s="14"/>
      <c r="I697" s="16"/>
    </row>
    <row r="698" spans="6:9" x14ac:dyDescent="0.2">
      <c r="F698" s="14"/>
      <c r="G698" s="14"/>
      <c r="H698" s="14"/>
      <c r="I698" s="16"/>
    </row>
    <row r="699" spans="6:9" x14ac:dyDescent="0.2">
      <c r="F699" s="14"/>
      <c r="G699" s="14"/>
      <c r="H699" s="14"/>
      <c r="I699" s="16"/>
    </row>
    <row r="700" spans="6:9" x14ac:dyDescent="0.2">
      <c r="F700" s="14"/>
      <c r="G700" s="14"/>
      <c r="H700" s="14"/>
      <c r="I700" s="16"/>
    </row>
    <row r="701" spans="6:9" x14ac:dyDescent="0.2">
      <c r="F701" s="14"/>
      <c r="G701" s="14"/>
      <c r="H701" s="14"/>
      <c r="I701" s="16"/>
    </row>
    <row r="702" spans="6:9" x14ac:dyDescent="0.2">
      <c r="F702" s="14"/>
      <c r="G702" s="14"/>
      <c r="H702" s="14"/>
      <c r="I702" s="16"/>
    </row>
    <row r="703" spans="6:9" x14ac:dyDescent="0.2">
      <c r="F703" s="14"/>
      <c r="G703" s="14"/>
      <c r="H703" s="14"/>
      <c r="I703" s="16"/>
    </row>
    <row r="704" spans="6:9" x14ac:dyDescent="0.2">
      <c r="F704" s="14"/>
      <c r="G704" s="14"/>
      <c r="H704" s="14"/>
      <c r="I704" s="16"/>
    </row>
    <row r="705" spans="6:9" x14ac:dyDescent="0.2">
      <c r="F705" s="14"/>
      <c r="G705" s="14"/>
      <c r="H705" s="14"/>
      <c r="I705" s="16"/>
    </row>
    <row r="706" spans="6:9" x14ac:dyDescent="0.2">
      <c r="F706" s="14"/>
      <c r="G706" s="14"/>
      <c r="H706" s="14"/>
      <c r="I706" s="16"/>
    </row>
    <row r="707" spans="6:9" x14ac:dyDescent="0.2">
      <c r="F707" s="14"/>
      <c r="G707" s="14"/>
      <c r="H707" s="14"/>
      <c r="I707" s="16"/>
    </row>
    <row r="708" spans="6:9" x14ac:dyDescent="0.2">
      <c r="F708" s="14"/>
      <c r="G708" s="14"/>
      <c r="H708" s="14"/>
      <c r="I708" s="16"/>
    </row>
    <row r="709" spans="6:9" x14ac:dyDescent="0.2">
      <c r="F709" s="14"/>
      <c r="G709" s="14"/>
      <c r="H709" s="14"/>
      <c r="I709" s="16"/>
    </row>
    <row r="710" spans="6:9" x14ac:dyDescent="0.2">
      <c r="F710" s="14"/>
      <c r="G710" s="14"/>
      <c r="H710" s="14"/>
      <c r="I710" s="16"/>
    </row>
    <row r="711" spans="6:9" x14ac:dyDescent="0.2">
      <c r="F711" s="14"/>
      <c r="G711" s="14"/>
      <c r="H711" s="14"/>
      <c r="I711" s="16"/>
    </row>
    <row r="712" spans="6:9" x14ac:dyDescent="0.2">
      <c r="F712" s="14"/>
      <c r="G712" s="14"/>
      <c r="H712" s="14"/>
      <c r="I712" s="16"/>
    </row>
    <row r="713" spans="6:9" x14ac:dyDescent="0.2">
      <c r="F713" s="14"/>
      <c r="G713" s="14"/>
      <c r="H713" s="14"/>
      <c r="I713" s="16"/>
    </row>
    <row r="714" spans="6:9" x14ac:dyDescent="0.2">
      <c r="F714" s="14"/>
      <c r="G714" s="14"/>
      <c r="H714" s="14"/>
      <c r="I714" s="16"/>
    </row>
    <row r="715" spans="6:9" x14ac:dyDescent="0.2">
      <c r="F715" s="14"/>
      <c r="G715" s="14"/>
      <c r="H715" s="14"/>
      <c r="I715" s="16"/>
    </row>
    <row r="716" spans="6:9" x14ac:dyDescent="0.2">
      <c r="F716" s="14"/>
      <c r="G716" s="14"/>
      <c r="H716" s="14"/>
      <c r="I716" s="16"/>
    </row>
    <row r="717" spans="6:9" x14ac:dyDescent="0.2">
      <c r="F717" s="14"/>
      <c r="G717" s="14"/>
      <c r="H717" s="14"/>
      <c r="I717" s="16"/>
    </row>
    <row r="718" spans="6:9" x14ac:dyDescent="0.2">
      <c r="F718" s="14"/>
      <c r="G718" s="14"/>
      <c r="H718" s="14"/>
      <c r="I718" s="16"/>
    </row>
    <row r="719" spans="6:9" x14ac:dyDescent="0.2">
      <c r="F719" s="14"/>
      <c r="G719" s="14"/>
      <c r="H719" s="14"/>
      <c r="I719" s="16"/>
    </row>
    <row r="720" spans="6:9" x14ac:dyDescent="0.2">
      <c r="F720" s="14"/>
      <c r="G720" s="14"/>
      <c r="H720" s="14"/>
      <c r="I720" s="16"/>
    </row>
    <row r="721" spans="6:9" x14ac:dyDescent="0.2">
      <c r="F721" s="14"/>
      <c r="G721" s="14"/>
      <c r="H721" s="14"/>
      <c r="I721" s="16"/>
    </row>
    <row r="722" spans="6:9" x14ac:dyDescent="0.2">
      <c r="F722" s="14"/>
      <c r="G722" s="14"/>
      <c r="H722" s="14"/>
      <c r="I722" s="16"/>
    </row>
    <row r="723" spans="6:9" x14ac:dyDescent="0.2">
      <c r="F723" s="14"/>
      <c r="G723" s="14"/>
      <c r="H723" s="14"/>
      <c r="I723" s="16"/>
    </row>
    <row r="724" spans="6:9" x14ac:dyDescent="0.2">
      <c r="F724" s="14"/>
      <c r="G724" s="14"/>
      <c r="H724" s="14"/>
      <c r="I724" s="16"/>
    </row>
    <row r="725" spans="6:9" x14ac:dyDescent="0.2">
      <c r="F725" s="14"/>
      <c r="G725" s="14"/>
      <c r="H725" s="14"/>
      <c r="I725" s="16"/>
    </row>
    <row r="726" spans="6:9" x14ac:dyDescent="0.2">
      <c r="F726" s="14"/>
      <c r="G726" s="14"/>
      <c r="H726" s="14"/>
      <c r="I726" s="16"/>
    </row>
    <row r="727" spans="6:9" x14ac:dyDescent="0.2">
      <c r="F727" s="14"/>
      <c r="G727" s="14"/>
      <c r="H727" s="14"/>
      <c r="I727" s="16"/>
    </row>
    <row r="728" spans="6:9" x14ac:dyDescent="0.2">
      <c r="F728" s="14"/>
      <c r="G728" s="14"/>
      <c r="H728" s="14"/>
      <c r="I728" s="16"/>
    </row>
    <row r="729" spans="6:9" x14ac:dyDescent="0.2">
      <c r="F729" s="14"/>
      <c r="G729" s="14"/>
      <c r="H729" s="14"/>
      <c r="I729" s="16"/>
    </row>
    <row r="730" spans="6:9" x14ac:dyDescent="0.2">
      <c r="F730" s="14"/>
      <c r="G730" s="14"/>
      <c r="H730" s="14"/>
      <c r="I730" s="16"/>
    </row>
    <row r="731" spans="6:9" x14ac:dyDescent="0.2">
      <c r="F731" s="14"/>
      <c r="G731" s="14"/>
      <c r="H731" s="14"/>
      <c r="I731" s="16"/>
    </row>
    <row r="732" spans="6:9" x14ac:dyDescent="0.2">
      <c r="F732" s="14"/>
      <c r="G732" s="14"/>
      <c r="H732" s="14"/>
      <c r="I732" s="16"/>
    </row>
    <row r="733" spans="6:9" x14ac:dyDescent="0.2">
      <c r="F733" s="14"/>
      <c r="G733" s="14"/>
      <c r="H733" s="14"/>
      <c r="I733" s="16"/>
    </row>
    <row r="734" spans="6:9" x14ac:dyDescent="0.2">
      <c r="F734" s="14"/>
      <c r="G734" s="14"/>
      <c r="H734" s="14"/>
      <c r="I734" s="16"/>
    </row>
    <row r="735" spans="6:9" x14ac:dyDescent="0.2">
      <c r="F735" s="14"/>
      <c r="G735" s="14"/>
      <c r="H735" s="14"/>
      <c r="I735" s="16"/>
    </row>
    <row r="736" spans="6:9" x14ac:dyDescent="0.2">
      <c r="F736" s="14"/>
      <c r="G736" s="14"/>
      <c r="H736" s="14"/>
      <c r="I736" s="16"/>
    </row>
    <row r="737" spans="6:9" x14ac:dyDescent="0.2">
      <c r="F737" s="14"/>
      <c r="G737" s="14"/>
      <c r="H737" s="14"/>
      <c r="I737" s="16"/>
    </row>
    <row r="738" spans="6:9" x14ac:dyDescent="0.2">
      <c r="F738" s="14"/>
      <c r="G738" s="14"/>
      <c r="H738" s="14"/>
      <c r="I738" s="16"/>
    </row>
    <row r="739" spans="6:9" x14ac:dyDescent="0.2">
      <c r="F739" s="14"/>
      <c r="G739" s="14"/>
      <c r="H739" s="14"/>
      <c r="I739" s="16"/>
    </row>
    <row r="740" spans="6:9" x14ac:dyDescent="0.2">
      <c r="F740" s="14"/>
      <c r="G740" s="14"/>
      <c r="H740" s="14"/>
      <c r="I740" s="16"/>
    </row>
    <row r="741" spans="6:9" x14ac:dyDescent="0.2">
      <c r="F741" s="14"/>
      <c r="G741" s="14"/>
      <c r="H741" s="14"/>
      <c r="I741" s="16"/>
    </row>
    <row r="742" spans="6:9" x14ac:dyDescent="0.2">
      <c r="F742" s="14"/>
      <c r="G742" s="14"/>
      <c r="H742" s="14"/>
      <c r="I742" s="16"/>
    </row>
    <row r="743" spans="6:9" x14ac:dyDescent="0.2">
      <c r="F743" s="14"/>
      <c r="G743" s="14"/>
      <c r="H743" s="14"/>
      <c r="I743" s="16"/>
    </row>
    <row r="744" spans="6:9" x14ac:dyDescent="0.2">
      <c r="F744" s="14"/>
      <c r="G744" s="14"/>
      <c r="H744" s="14"/>
      <c r="I744" s="16"/>
    </row>
    <row r="745" spans="6:9" x14ac:dyDescent="0.2">
      <c r="F745" s="14"/>
      <c r="G745" s="14"/>
      <c r="H745" s="14"/>
      <c r="I745" s="16"/>
    </row>
    <row r="746" spans="6:9" x14ac:dyDescent="0.2">
      <c r="F746" s="14"/>
      <c r="G746" s="14"/>
      <c r="H746" s="14"/>
      <c r="I746" s="16"/>
    </row>
    <row r="747" spans="6:9" x14ac:dyDescent="0.2">
      <c r="F747" s="14"/>
      <c r="G747" s="14"/>
      <c r="H747" s="14"/>
      <c r="I747" s="16"/>
    </row>
    <row r="748" spans="6:9" x14ac:dyDescent="0.2">
      <c r="F748" s="14"/>
      <c r="G748" s="14"/>
      <c r="H748" s="14"/>
      <c r="I748" s="16"/>
    </row>
    <row r="749" spans="6:9" x14ac:dyDescent="0.2">
      <c r="F749" s="14"/>
      <c r="G749" s="14"/>
      <c r="H749" s="14"/>
      <c r="I749" s="16"/>
    </row>
    <row r="750" spans="6:9" x14ac:dyDescent="0.2">
      <c r="F750" s="14"/>
      <c r="G750" s="14"/>
      <c r="H750" s="14"/>
      <c r="I750" s="16"/>
    </row>
    <row r="751" spans="6:9" x14ac:dyDescent="0.2">
      <c r="F751" s="14"/>
      <c r="G751" s="14"/>
      <c r="H751" s="14"/>
      <c r="I751" s="16"/>
    </row>
    <row r="752" spans="6:9" x14ac:dyDescent="0.2">
      <c r="F752" s="14"/>
      <c r="G752" s="14"/>
      <c r="H752" s="14"/>
      <c r="I752" s="16"/>
    </row>
    <row r="753" spans="6:9" x14ac:dyDescent="0.2">
      <c r="F753" s="14"/>
      <c r="G753" s="14"/>
      <c r="H753" s="14"/>
      <c r="I753" s="16"/>
    </row>
    <row r="754" spans="6:9" x14ac:dyDescent="0.2">
      <c r="F754" s="14"/>
      <c r="G754" s="14"/>
      <c r="H754" s="14"/>
      <c r="I754" s="16"/>
    </row>
    <row r="755" spans="6:9" x14ac:dyDescent="0.2">
      <c r="F755" s="14"/>
      <c r="G755" s="14"/>
      <c r="H755" s="14"/>
      <c r="I755" s="16"/>
    </row>
    <row r="756" spans="6:9" x14ac:dyDescent="0.2">
      <c r="F756" s="14"/>
      <c r="G756" s="14"/>
      <c r="H756" s="14"/>
      <c r="I756" s="16"/>
    </row>
    <row r="757" spans="6:9" x14ac:dyDescent="0.2">
      <c r="F757" s="14"/>
      <c r="G757" s="14"/>
      <c r="H757" s="14"/>
      <c r="I757" s="16"/>
    </row>
    <row r="758" spans="6:9" x14ac:dyDescent="0.2">
      <c r="F758" s="14"/>
      <c r="G758" s="14"/>
      <c r="H758" s="14"/>
      <c r="I758" s="16"/>
    </row>
    <row r="759" spans="6:9" x14ac:dyDescent="0.2">
      <c r="F759" s="14"/>
      <c r="G759" s="14"/>
      <c r="H759" s="14"/>
      <c r="I759" s="16"/>
    </row>
    <row r="760" spans="6:9" x14ac:dyDescent="0.2">
      <c r="F760" s="14"/>
      <c r="G760" s="14"/>
      <c r="H760" s="14"/>
      <c r="I760" s="16"/>
    </row>
    <row r="761" spans="6:9" x14ac:dyDescent="0.2">
      <c r="F761" s="14"/>
      <c r="G761" s="14"/>
      <c r="H761" s="14"/>
      <c r="I761" s="16"/>
    </row>
    <row r="762" spans="6:9" x14ac:dyDescent="0.2">
      <c r="F762" s="14"/>
      <c r="G762" s="14"/>
      <c r="H762" s="14"/>
      <c r="I762" s="16"/>
    </row>
    <row r="763" spans="6:9" x14ac:dyDescent="0.2">
      <c r="F763" s="14"/>
      <c r="G763" s="14"/>
      <c r="H763" s="14"/>
      <c r="I763" s="16"/>
    </row>
    <row r="764" spans="6:9" x14ac:dyDescent="0.2">
      <c r="F764" s="14"/>
      <c r="G764" s="14"/>
      <c r="H764" s="14"/>
      <c r="I764" s="16"/>
    </row>
    <row r="765" spans="6:9" x14ac:dyDescent="0.2">
      <c r="F765" s="14"/>
      <c r="G765" s="14"/>
      <c r="H765" s="14"/>
      <c r="I765" s="16"/>
    </row>
    <row r="766" spans="6:9" x14ac:dyDescent="0.2">
      <c r="F766" s="14"/>
      <c r="G766" s="14"/>
      <c r="H766" s="14"/>
      <c r="I766" s="16"/>
    </row>
    <row r="767" spans="6:9" x14ac:dyDescent="0.2">
      <c r="F767" s="14"/>
      <c r="G767" s="14"/>
      <c r="H767" s="14"/>
      <c r="I767" s="16"/>
    </row>
    <row r="768" spans="6:9" x14ac:dyDescent="0.2">
      <c r="F768" s="14"/>
      <c r="G768" s="14"/>
      <c r="H768" s="14"/>
      <c r="I768" s="16"/>
    </row>
    <row r="769" spans="6:9" x14ac:dyDescent="0.2">
      <c r="F769" s="14"/>
      <c r="G769" s="14"/>
      <c r="H769" s="14"/>
      <c r="I769" s="16"/>
    </row>
    <row r="770" spans="6:9" x14ac:dyDescent="0.2">
      <c r="F770" s="14"/>
      <c r="G770" s="14"/>
      <c r="H770" s="14"/>
      <c r="I770" s="16"/>
    </row>
    <row r="771" spans="6:9" x14ac:dyDescent="0.2">
      <c r="F771" s="14"/>
      <c r="G771" s="14"/>
      <c r="H771" s="14"/>
      <c r="I771" s="16"/>
    </row>
    <row r="772" spans="6:9" x14ac:dyDescent="0.2">
      <c r="F772" s="14"/>
      <c r="G772" s="14"/>
      <c r="H772" s="14"/>
      <c r="I772" s="16"/>
    </row>
    <row r="773" spans="6:9" x14ac:dyDescent="0.2">
      <c r="F773" s="14"/>
      <c r="G773" s="14"/>
      <c r="H773" s="14"/>
      <c r="I773" s="16"/>
    </row>
    <row r="774" spans="6:9" x14ac:dyDescent="0.2">
      <c r="F774" s="14"/>
      <c r="G774" s="14"/>
      <c r="H774" s="14"/>
      <c r="I774" s="16"/>
    </row>
    <row r="775" spans="6:9" x14ac:dyDescent="0.2">
      <c r="F775" s="14"/>
      <c r="G775" s="14"/>
      <c r="H775" s="14"/>
      <c r="I775" s="16"/>
    </row>
    <row r="776" spans="6:9" x14ac:dyDescent="0.2">
      <c r="F776" s="14"/>
      <c r="G776" s="14"/>
      <c r="H776" s="14"/>
      <c r="I776" s="16"/>
    </row>
    <row r="777" spans="6:9" x14ac:dyDescent="0.2">
      <c r="F777" s="14"/>
      <c r="G777" s="14"/>
      <c r="H777" s="14"/>
      <c r="I777" s="16"/>
    </row>
    <row r="778" spans="6:9" x14ac:dyDescent="0.2">
      <c r="F778" s="14"/>
      <c r="G778" s="14"/>
      <c r="H778" s="14"/>
      <c r="I778" s="16"/>
    </row>
    <row r="779" spans="6:9" x14ac:dyDescent="0.2">
      <c r="F779" s="14"/>
      <c r="G779" s="14"/>
      <c r="H779" s="14"/>
      <c r="I779" s="16"/>
    </row>
    <row r="780" spans="6:9" x14ac:dyDescent="0.2">
      <c r="F780" s="14"/>
      <c r="G780" s="14"/>
      <c r="H780" s="14"/>
      <c r="I780" s="16"/>
    </row>
    <row r="781" spans="6:9" x14ac:dyDescent="0.2">
      <c r="F781" s="14"/>
      <c r="G781" s="14"/>
      <c r="H781" s="14"/>
      <c r="I781" s="16"/>
    </row>
    <row r="782" spans="6:9" x14ac:dyDescent="0.2">
      <c r="F782" s="14"/>
      <c r="G782" s="14"/>
      <c r="H782" s="14"/>
      <c r="I782" s="16"/>
    </row>
    <row r="783" spans="6:9" x14ac:dyDescent="0.2">
      <c r="F783" s="14"/>
      <c r="G783" s="14"/>
      <c r="H783" s="14"/>
      <c r="I783" s="16"/>
    </row>
    <row r="784" spans="6:9" x14ac:dyDescent="0.2">
      <c r="F784" s="14"/>
      <c r="G784" s="14"/>
      <c r="H784" s="14"/>
      <c r="I784" s="16"/>
    </row>
    <row r="785" spans="6:9" x14ac:dyDescent="0.2">
      <c r="F785" s="14"/>
      <c r="G785" s="14"/>
      <c r="H785" s="14"/>
      <c r="I785" s="16"/>
    </row>
    <row r="786" spans="6:9" x14ac:dyDescent="0.2">
      <c r="F786" s="14"/>
      <c r="G786" s="14"/>
      <c r="H786" s="14"/>
      <c r="I786" s="16"/>
    </row>
    <row r="787" spans="6:9" x14ac:dyDescent="0.2">
      <c r="F787" s="14"/>
      <c r="G787" s="14"/>
      <c r="H787" s="14"/>
      <c r="I787" s="16"/>
    </row>
    <row r="788" spans="6:9" x14ac:dyDescent="0.2">
      <c r="F788" s="14"/>
      <c r="G788" s="14"/>
      <c r="H788" s="14"/>
      <c r="I788" s="16"/>
    </row>
    <row r="789" spans="6:9" x14ac:dyDescent="0.2">
      <c r="F789" s="14"/>
      <c r="G789" s="14"/>
      <c r="H789" s="14"/>
      <c r="I789" s="16"/>
    </row>
    <row r="790" spans="6:9" x14ac:dyDescent="0.2">
      <c r="F790" s="14"/>
      <c r="G790" s="14"/>
      <c r="H790" s="14"/>
      <c r="I790" s="16"/>
    </row>
    <row r="791" spans="6:9" x14ac:dyDescent="0.2">
      <c r="F791" s="14"/>
      <c r="G791" s="14"/>
      <c r="H791" s="14"/>
      <c r="I791" s="16"/>
    </row>
    <row r="792" spans="6:9" x14ac:dyDescent="0.2">
      <c r="F792" s="14"/>
      <c r="G792" s="14"/>
      <c r="H792" s="14"/>
      <c r="I792" s="16"/>
    </row>
    <row r="793" spans="6:9" x14ac:dyDescent="0.2">
      <c r="F793" s="14"/>
      <c r="G793" s="14"/>
      <c r="H793" s="14"/>
      <c r="I793" s="16"/>
    </row>
    <row r="794" spans="6:9" x14ac:dyDescent="0.2">
      <c r="F794" s="14"/>
      <c r="G794" s="14"/>
      <c r="H794" s="14"/>
      <c r="I794" s="16"/>
    </row>
    <row r="795" spans="6:9" x14ac:dyDescent="0.2">
      <c r="F795" s="14"/>
      <c r="G795" s="14"/>
      <c r="H795" s="14"/>
      <c r="I795" s="16"/>
    </row>
    <row r="796" spans="6:9" x14ac:dyDescent="0.2">
      <c r="F796" s="14"/>
      <c r="G796" s="14"/>
      <c r="H796" s="14"/>
      <c r="I796" s="16"/>
    </row>
    <row r="797" spans="6:9" x14ac:dyDescent="0.2">
      <c r="F797" s="14"/>
      <c r="G797" s="14"/>
      <c r="H797" s="14"/>
      <c r="I797" s="16"/>
    </row>
    <row r="798" spans="6:9" x14ac:dyDescent="0.2">
      <c r="F798" s="14"/>
      <c r="G798" s="14"/>
      <c r="H798" s="14"/>
      <c r="I798" s="16"/>
    </row>
    <row r="799" spans="6:9" x14ac:dyDescent="0.2">
      <c r="F799" s="14"/>
      <c r="G799" s="14"/>
      <c r="H799" s="14"/>
      <c r="I799" s="16"/>
    </row>
    <row r="800" spans="6:9" x14ac:dyDescent="0.2">
      <c r="F800" s="14"/>
      <c r="G800" s="14"/>
      <c r="H800" s="14"/>
      <c r="I800" s="16"/>
    </row>
    <row r="801" spans="6:9" x14ac:dyDescent="0.2">
      <c r="F801" s="14"/>
      <c r="G801" s="14"/>
      <c r="H801" s="14"/>
      <c r="I801" s="16"/>
    </row>
    <row r="802" spans="6:9" x14ac:dyDescent="0.2">
      <c r="F802" s="14"/>
      <c r="G802" s="14"/>
      <c r="H802" s="14"/>
      <c r="I802" s="16"/>
    </row>
    <row r="803" spans="6:9" x14ac:dyDescent="0.2">
      <c r="F803" s="14"/>
      <c r="G803" s="14"/>
      <c r="H803" s="14"/>
      <c r="I803" s="16"/>
    </row>
    <row r="804" spans="6:9" x14ac:dyDescent="0.2">
      <c r="F804" s="14"/>
      <c r="G804" s="14"/>
      <c r="H804" s="14"/>
      <c r="I804" s="16"/>
    </row>
    <row r="805" spans="6:9" x14ac:dyDescent="0.2">
      <c r="F805" s="14"/>
      <c r="G805" s="14"/>
      <c r="H805" s="14"/>
      <c r="I805" s="16"/>
    </row>
    <row r="806" spans="6:9" x14ac:dyDescent="0.2">
      <c r="F806" s="14"/>
      <c r="G806" s="14"/>
      <c r="H806" s="14"/>
      <c r="I806" s="16"/>
    </row>
    <row r="807" spans="6:9" x14ac:dyDescent="0.2">
      <c r="F807" s="14"/>
      <c r="G807" s="14"/>
      <c r="H807" s="14"/>
      <c r="I807" s="16"/>
    </row>
    <row r="808" spans="6:9" x14ac:dyDescent="0.2">
      <c r="F808" s="14"/>
      <c r="G808" s="14"/>
      <c r="H808" s="14"/>
      <c r="I808" s="16"/>
    </row>
    <row r="809" spans="6:9" x14ac:dyDescent="0.2">
      <c r="F809" s="14"/>
      <c r="G809" s="14"/>
      <c r="H809" s="14"/>
      <c r="I809" s="16"/>
    </row>
    <row r="810" spans="6:9" x14ac:dyDescent="0.2">
      <c r="F810" s="14"/>
      <c r="G810" s="14"/>
      <c r="H810" s="14"/>
      <c r="I810" s="16"/>
    </row>
    <row r="811" spans="6:9" x14ac:dyDescent="0.2">
      <c r="F811" s="14"/>
      <c r="G811" s="14"/>
      <c r="H811" s="14"/>
      <c r="I811" s="16"/>
    </row>
    <row r="812" spans="6:9" x14ac:dyDescent="0.2">
      <c r="F812" s="14"/>
      <c r="G812" s="14"/>
      <c r="H812" s="14"/>
      <c r="I812" s="16"/>
    </row>
    <row r="813" spans="6:9" x14ac:dyDescent="0.2">
      <c r="F813" s="14"/>
      <c r="G813" s="14"/>
      <c r="H813" s="14"/>
      <c r="I813" s="16"/>
    </row>
    <row r="814" spans="6:9" x14ac:dyDescent="0.2">
      <c r="F814" s="14"/>
      <c r="G814" s="14"/>
      <c r="H814" s="14"/>
      <c r="I814" s="16"/>
    </row>
    <row r="815" spans="6:9" x14ac:dyDescent="0.2">
      <c r="F815" s="14"/>
      <c r="G815" s="14"/>
      <c r="H815" s="14"/>
      <c r="I815" s="16"/>
    </row>
    <row r="816" spans="6:9" x14ac:dyDescent="0.2">
      <c r="F816" s="14"/>
      <c r="G816" s="14"/>
      <c r="H816" s="14"/>
      <c r="I816" s="16"/>
    </row>
    <row r="817" spans="6:9" x14ac:dyDescent="0.2">
      <c r="F817" s="14"/>
      <c r="G817" s="14"/>
      <c r="H817" s="14"/>
      <c r="I817" s="16"/>
    </row>
    <row r="818" spans="6:9" x14ac:dyDescent="0.2">
      <c r="F818" s="14"/>
      <c r="G818" s="14"/>
      <c r="H818" s="14"/>
      <c r="I818" s="16"/>
    </row>
    <row r="819" spans="6:9" x14ac:dyDescent="0.2">
      <c r="F819" s="14"/>
      <c r="G819" s="14"/>
      <c r="H819" s="14"/>
      <c r="I819" s="16"/>
    </row>
    <row r="820" spans="6:9" x14ac:dyDescent="0.2">
      <c r="F820" s="14"/>
      <c r="G820" s="14"/>
      <c r="H820" s="14"/>
      <c r="I820" s="16"/>
    </row>
    <row r="821" spans="6:9" x14ac:dyDescent="0.2">
      <c r="F821" s="14"/>
      <c r="G821" s="14"/>
      <c r="H821" s="14"/>
      <c r="I821" s="16"/>
    </row>
    <row r="822" spans="6:9" x14ac:dyDescent="0.2">
      <c r="F822" s="14"/>
      <c r="G822" s="14"/>
      <c r="H822" s="14"/>
      <c r="I822" s="16"/>
    </row>
    <row r="823" spans="6:9" x14ac:dyDescent="0.2">
      <c r="F823" s="14"/>
      <c r="G823" s="14"/>
      <c r="H823" s="14"/>
      <c r="I823" s="16"/>
    </row>
    <row r="824" spans="6:9" x14ac:dyDescent="0.2">
      <c r="F824" s="14"/>
      <c r="G824" s="14"/>
      <c r="H824" s="14"/>
      <c r="I824" s="16"/>
    </row>
    <row r="825" spans="6:9" x14ac:dyDescent="0.2">
      <c r="F825" s="14"/>
      <c r="G825" s="14"/>
      <c r="H825" s="14"/>
      <c r="I825" s="16"/>
    </row>
    <row r="826" spans="6:9" x14ac:dyDescent="0.2">
      <c r="F826" s="14"/>
      <c r="G826" s="14"/>
      <c r="H826" s="14"/>
      <c r="I826" s="16"/>
    </row>
    <row r="827" spans="6:9" x14ac:dyDescent="0.2">
      <c r="F827" s="14"/>
      <c r="G827" s="14"/>
      <c r="H827" s="14"/>
      <c r="I827" s="16"/>
    </row>
    <row r="828" spans="6:9" x14ac:dyDescent="0.2">
      <c r="F828" s="14"/>
      <c r="G828" s="14"/>
      <c r="H828" s="14"/>
      <c r="I828" s="16"/>
    </row>
    <row r="829" spans="6:9" x14ac:dyDescent="0.2">
      <c r="F829" s="14"/>
      <c r="G829" s="14"/>
      <c r="H829" s="14"/>
      <c r="I829" s="16"/>
    </row>
    <row r="830" spans="6:9" x14ac:dyDescent="0.2">
      <c r="F830" s="14"/>
      <c r="G830" s="14"/>
      <c r="H830" s="14"/>
      <c r="I830" s="16"/>
    </row>
    <row r="831" spans="6:9" x14ac:dyDescent="0.2">
      <c r="F831" s="14"/>
      <c r="G831" s="14"/>
      <c r="H831" s="14"/>
      <c r="I831" s="16"/>
    </row>
    <row r="832" spans="6:9" x14ac:dyDescent="0.2">
      <c r="F832" s="14"/>
      <c r="G832" s="14"/>
      <c r="H832" s="14"/>
      <c r="I832" s="16"/>
    </row>
    <row r="833" spans="6:9" x14ac:dyDescent="0.2">
      <c r="F833" s="14"/>
      <c r="G833" s="14"/>
      <c r="H833" s="14"/>
      <c r="I833" s="16"/>
    </row>
    <row r="834" spans="6:9" x14ac:dyDescent="0.2">
      <c r="F834" s="14"/>
      <c r="G834" s="14"/>
      <c r="H834" s="14"/>
      <c r="I834" s="16"/>
    </row>
    <row r="835" spans="6:9" x14ac:dyDescent="0.2">
      <c r="F835" s="14"/>
      <c r="G835" s="14"/>
      <c r="H835" s="14"/>
      <c r="I835" s="16"/>
    </row>
    <row r="836" spans="6:9" x14ac:dyDescent="0.2">
      <c r="F836" s="14"/>
      <c r="G836" s="14"/>
      <c r="H836" s="14"/>
      <c r="I836" s="16"/>
    </row>
    <row r="837" spans="6:9" x14ac:dyDescent="0.2">
      <c r="F837" s="14"/>
      <c r="G837" s="14"/>
      <c r="H837" s="14"/>
      <c r="I837" s="16"/>
    </row>
    <row r="838" spans="6:9" x14ac:dyDescent="0.2">
      <c r="F838" s="14"/>
      <c r="G838" s="14"/>
      <c r="H838" s="14"/>
      <c r="I838" s="16"/>
    </row>
    <row r="839" spans="6:9" x14ac:dyDescent="0.2">
      <c r="F839" s="14"/>
      <c r="G839" s="14"/>
      <c r="H839" s="14"/>
      <c r="I839" s="16"/>
    </row>
    <row r="840" spans="6:9" x14ac:dyDescent="0.2">
      <c r="F840" s="14"/>
      <c r="G840" s="14"/>
      <c r="H840" s="14"/>
      <c r="I840" s="16"/>
    </row>
    <row r="841" spans="6:9" x14ac:dyDescent="0.2">
      <c r="F841" s="14"/>
      <c r="G841" s="14"/>
      <c r="H841" s="14"/>
      <c r="I841" s="16"/>
    </row>
    <row r="842" spans="6:9" x14ac:dyDescent="0.2">
      <c r="F842" s="14"/>
      <c r="G842" s="14"/>
      <c r="H842" s="14"/>
      <c r="I842" s="16"/>
    </row>
    <row r="843" spans="6:9" x14ac:dyDescent="0.2">
      <c r="F843" s="14"/>
      <c r="G843" s="14"/>
      <c r="H843" s="14"/>
      <c r="I843" s="16"/>
    </row>
    <row r="844" spans="6:9" x14ac:dyDescent="0.2">
      <c r="F844" s="14"/>
      <c r="G844" s="14"/>
      <c r="H844" s="14"/>
      <c r="I844" s="16"/>
    </row>
    <row r="845" spans="6:9" x14ac:dyDescent="0.2">
      <c r="F845" s="14"/>
      <c r="G845" s="14"/>
      <c r="H845" s="14"/>
      <c r="I845" s="16"/>
    </row>
    <row r="846" spans="6:9" x14ac:dyDescent="0.2">
      <c r="F846" s="14"/>
      <c r="G846" s="14"/>
      <c r="H846" s="14"/>
      <c r="I846" s="16"/>
    </row>
    <row r="847" spans="6:9" x14ac:dyDescent="0.2">
      <c r="F847" s="14"/>
      <c r="G847" s="14"/>
      <c r="H847" s="14"/>
      <c r="I847" s="16"/>
    </row>
    <row r="848" spans="6:9" x14ac:dyDescent="0.2">
      <c r="F848" s="14"/>
      <c r="G848" s="14"/>
      <c r="H848" s="14"/>
      <c r="I848" s="16"/>
    </row>
    <row r="849" spans="6:9" x14ac:dyDescent="0.2">
      <c r="F849" s="14"/>
      <c r="G849" s="14"/>
      <c r="H849" s="14"/>
      <c r="I849" s="16"/>
    </row>
    <row r="850" spans="6:9" x14ac:dyDescent="0.2">
      <c r="F850" s="14"/>
      <c r="G850" s="14"/>
      <c r="H850" s="14"/>
      <c r="I850" s="16"/>
    </row>
    <row r="851" spans="6:9" x14ac:dyDescent="0.2">
      <c r="F851" s="14"/>
      <c r="G851" s="14"/>
      <c r="H851" s="14"/>
      <c r="I851" s="16"/>
    </row>
    <row r="852" spans="6:9" x14ac:dyDescent="0.2">
      <c r="F852" s="14"/>
      <c r="G852" s="14"/>
      <c r="H852" s="14"/>
      <c r="I852" s="16"/>
    </row>
    <row r="853" spans="6:9" x14ac:dyDescent="0.2">
      <c r="F853" s="14"/>
      <c r="G853" s="14"/>
      <c r="H853" s="14"/>
      <c r="I853" s="16"/>
    </row>
    <row r="854" spans="6:9" x14ac:dyDescent="0.2">
      <c r="F854" s="14"/>
      <c r="G854" s="14"/>
      <c r="H854" s="14"/>
      <c r="I854" s="16"/>
    </row>
    <row r="855" spans="6:9" x14ac:dyDescent="0.2">
      <c r="F855" s="14"/>
      <c r="G855" s="14"/>
      <c r="H855" s="14"/>
      <c r="I855" s="16"/>
    </row>
    <row r="856" spans="6:9" x14ac:dyDescent="0.2">
      <c r="F856" s="14"/>
      <c r="G856" s="14"/>
      <c r="H856" s="14"/>
      <c r="I856" s="16"/>
    </row>
    <row r="857" spans="6:9" x14ac:dyDescent="0.2">
      <c r="F857" s="14"/>
      <c r="G857" s="14"/>
      <c r="H857" s="14"/>
      <c r="I857" s="16"/>
    </row>
    <row r="858" spans="6:9" x14ac:dyDescent="0.2">
      <c r="F858" s="14"/>
      <c r="G858" s="14"/>
      <c r="H858" s="14"/>
      <c r="I858" s="16"/>
    </row>
    <row r="859" spans="6:9" x14ac:dyDescent="0.2">
      <c r="F859" s="14"/>
      <c r="G859" s="14"/>
      <c r="H859" s="14"/>
      <c r="I859" s="16"/>
    </row>
    <row r="860" spans="6:9" x14ac:dyDescent="0.2">
      <c r="F860" s="14"/>
      <c r="G860" s="14"/>
      <c r="H860" s="14"/>
      <c r="I860" s="16"/>
    </row>
    <row r="861" spans="6:9" x14ac:dyDescent="0.2">
      <c r="F861" s="14"/>
      <c r="G861" s="14"/>
      <c r="H861" s="14"/>
      <c r="I861" s="16"/>
    </row>
    <row r="862" spans="6:9" x14ac:dyDescent="0.2">
      <c r="F862" s="14"/>
      <c r="G862" s="14"/>
      <c r="H862" s="14"/>
      <c r="I862" s="16"/>
    </row>
    <row r="863" spans="6:9" x14ac:dyDescent="0.2">
      <c r="F863" s="14"/>
      <c r="G863" s="14"/>
      <c r="H863" s="14"/>
      <c r="I863" s="16"/>
    </row>
    <row r="864" spans="6:9" x14ac:dyDescent="0.2">
      <c r="F864" s="14"/>
      <c r="G864" s="14"/>
      <c r="H864" s="14"/>
      <c r="I864" s="16"/>
    </row>
    <row r="865" spans="6:9" x14ac:dyDescent="0.2">
      <c r="F865" s="14"/>
      <c r="G865" s="14"/>
      <c r="H865" s="14"/>
      <c r="I865" s="16"/>
    </row>
    <row r="866" spans="6:9" x14ac:dyDescent="0.2">
      <c r="F866" s="14"/>
      <c r="G866" s="14"/>
      <c r="H866" s="14"/>
      <c r="I866" s="16"/>
    </row>
    <row r="867" spans="6:9" x14ac:dyDescent="0.2">
      <c r="F867" s="14"/>
      <c r="G867" s="14"/>
      <c r="H867" s="14"/>
      <c r="I867" s="16"/>
    </row>
    <row r="868" spans="6:9" x14ac:dyDescent="0.2">
      <c r="F868" s="14"/>
      <c r="G868" s="14"/>
      <c r="H868" s="14"/>
      <c r="I868" s="16"/>
    </row>
    <row r="869" spans="6:9" x14ac:dyDescent="0.2">
      <c r="F869" s="14"/>
      <c r="G869" s="14"/>
      <c r="H869" s="14"/>
      <c r="I869" s="16"/>
    </row>
    <row r="870" spans="6:9" x14ac:dyDescent="0.2">
      <c r="F870" s="14"/>
      <c r="G870" s="14"/>
      <c r="H870" s="14"/>
      <c r="I870" s="16"/>
    </row>
    <row r="871" spans="6:9" x14ac:dyDescent="0.2">
      <c r="F871" s="14"/>
      <c r="G871" s="14"/>
      <c r="H871" s="14"/>
      <c r="I871" s="16"/>
    </row>
    <row r="872" spans="6:9" x14ac:dyDescent="0.2">
      <c r="F872" s="14"/>
      <c r="G872" s="14"/>
      <c r="H872" s="14"/>
      <c r="I872" s="16"/>
    </row>
    <row r="873" spans="6:9" x14ac:dyDescent="0.2">
      <c r="F873" s="14"/>
      <c r="G873" s="14"/>
      <c r="H873" s="14"/>
      <c r="I873" s="16"/>
    </row>
    <row r="874" spans="6:9" x14ac:dyDescent="0.2">
      <c r="F874" s="14"/>
      <c r="G874" s="14"/>
      <c r="H874" s="14"/>
      <c r="I874" s="16"/>
    </row>
    <row r="875" spans="6:9" x14ac:dyDescent="0.2">
      <c r="F875" s="14"/>
      <c r="G875" s="14"/>
      <c r="H875" s="14"/>
      <c r="I875" s="16"/>
    </row>
    <row r="876" spans="6:9" x14ac:dyDescent="0.2">
      <c r="F876" s="14"/>
      <c r="G876" s="14"/>
      <c r="H876" s="14"/>
      <c r="I876" s="16"/>
    </row>
    <row r="877" spans="6:9" x14ac:dyDescent="0.2">
      <c r="F877" s="14"/>
      <c r="G877" s="14"/>
      <c r="H877" s="14"/>
      <c r="I877" s="16"/>
    </row>
    <row r="878" spans="6:9" x14ac:dyDescent="0.2">
      <c r="F878" s="14"/>
      <c r="G878" s="14"/>
      <c r="H878" s="14"/>
      <c r="I878" s="16"/>
    </row>
    <row r="879" spans="6:9" x14ac:dyDescent="0.2">
      <c r="F879" s="14"/>
      <c r="G879" s="14"/>
      <c r="H879" s="14"/>
      <c r="I879" s="16"/>
    </row>
    <row r="880" spans="6:9" x14ac:dyDescent="0.2">
      <c r="F880" s="14"/>
      <c r="G880" s="14"/>
      <c r="H880" s="14"/>
      <c r="I880" s="16"/>
    </row>
    <row r="881" spans="6:9" x14ac:dyDescent="0.2">
      <c r="F881" s="14"/>
      <c r="G881" s="14"/>
      <c r="H881" s="14"/>
      <c r="I881" s="16"/>
    </row>
    <row r="882" spans="6:9" x14ac:dyDescent="0.2">
      <c r="F882" s="14"/>
      <c r="G882" s="14"/>
      <c r="H882" s="14"/>
      <c r="I882" s="16"/>
    </row>
    <row r="883" spans="6:9" x14ac:dyDescent="0.2">
      <c r="F883" s="14"/>
      <c r="G883" s="14"/>
      <c r="H883" s="14"/>
      <c r="I883" s="16"/>
    </row>
    <row r="884" spans="6:9" x14ac:dyDescent="0.2">
      <c r="F884" s="14"/>
      <c r="G884" s="14"/>
      <c r="H884" s="14"/>
      <c r="I884" s="16"/>
    </row>
    <row r="885" spans="6:9" x14ac:dyDescent="0.2">
      <c r="F885" s="14"/>
      <c r="G885" s="14"/>
      <c r="H885" s="14"/>
      <c r="I885" s="16"/>
    </row>
    <row r="886" spans="6:9" x14ac:dyDescent="0.2">
      <c r="F886" s="14"/>
      <c r="G886" s="14"/>
      <c r="H886" s="14"/>
      <c r="I886" s="16"/>
    </row>
    <row r="887" spans="6:9" x14ac:dyDescent="0.2">
      <c r="F887" s="14"/>
      <c r="G887" s="14"/>
      <c r="H887" s="14"/>
      <c r="I887" s="16"/>
    </row>
    <row r="888" spans="6:9" x14ac:dyDescent="0.2">
      <c r="F888" s="14"/>
      <c r="G888" s="14"/>
      <c r="H888" s="14"/>
      <c r="I888" s="16"/>
    </row>
    <row r="889" spans="6:9" x14ac:dyDescent="0.2">
      <c r="F889" s="14"/>
      <c r="G889" s="14"/>
      <c r="H889" s="14"/>
      <c r="I889" s="16"/>
    </row>
    <row r="890" spans="6:9" x14ac:dyDescent="0.2">
      <c r="F890" s="14"/>
      <c r="G890" s="14"/>
      <c r="H890" s="14"/>
      <c r="I890" s="16"/>
    </row>
    <row r="891" spans="6:9" x14ac:dyDescent="0.2">
      <c r="F891" s="14"/>
      <c r="G891" s="14"/>
      <c r="H891" s="14"/>
      <c r="I891" s="16"/>
    </row>
    <row r="892" spans="6:9" x14ac:dyDescent="0.2">
      <c r="F892" s="14"/>
      <c r="G892" s="14"/>
      <c r="H892" s="14"/>
      <c r="I892" s="16"/>
    </row>
    <row r="893" spans="6:9" x14ac:dyDescent="0.2">
      <c r="F893" s="14"/>
      <c r="G893" s="14"/>
      <c r="H893" s="14"/>
      <c r="I893" s="16"/>
    </row>
    <row r="894" spans="6:9" x14ac:dyDescent="0.2">
      <c r="F894" s="14"/>
      <c r="G894" s="14"/>
      <c r="H894" s="14"/>
      <c r="I894" s="16"/>
    </row>
    <row r="895" spans="6:9" x14ac:dyDescent="0.2">
      <c r="F895" s="14"/>
      <c r="G895" s="14"/>
      <c r="H895" s="14"/>
      <c r="I895" s="16"/>
    </row>
    <row r="896" spans="6:9" x14ac:dyDescent="0.2">
      <c r="F896" s="14"/>
      <c r="G896" s="14"/>
      <c r="H896" s="14"/>
      <c r="I896" s="16"/>
    </row>
    <row r="897" spans="6:9" x14ac:dyDescent="0.2">
      <c r="F897" s="14"/>
      <c r="G897" s="14"/>
      <c r="H897" s="14"/>
      <c r="I897" s="16"/>
    </row>
    <row r="898" spans="6:9" x14ac:dyDescent="0.2">
      <c r="F898" s="14"/>
      <c r="G898" s="14"/>
      <c r="H898" s="14"/>
      <c r="I898" s="16"/>
    </row>
    <row r="899" spans="6:9" x14ac:dyDescent="0.2">
      <c r="F899" s="14"/>
      <c r="G899" s="14"/>
      <c r="H899" s="14"/>
      <c r="I899" s="16"/>
    </row>
    <row r="900" spans="6:9" x14ac:dyDescent="0.2">
      <c r="F900" s="14"/>
      <c r="G900" s="14"/>
      <c r="H900" s="14"/>
      <c r="I900" s="16"/>
    </row>
    <row r="901" spans="6:9" x14ac:dyDescent="0.2">
      <c r="F901" s="14"/>
      <c r="G901" s="14"/>
      <c r="H901" s="14"/>
      <c r="I901" s="16"/>
    </row>
    <row r="902" spans="6:9" x14ac:dyDescent="0.2">
      <c r="F902" s="14"/>
      <c r="G902" s="14"/>
      <c r="H902" s="14"/>
      <c r="I902" s="16"/>
    </row>
    <row r="903" spans="6:9" x14ac:dyDescent="0.2">
      <c r="F903" s="14"/>
      <c r="G903" s="14"/>
      <c r="H903" s="14"/>
      <c r="I903" s="16"/>
    </row>
    <row r="904" spans="6:9" x14ac:dyDescent="0.2">
      <c r="F904" s="14"/>
      <c r="G904" s="14"/>
      <c r="H904" s="14"/>
      <c r="I904" s="16"/>
    </row>
    <row r="905" spans="6:9" x14ac:dyDescent="0.2">
      <c r="F905" s="14"/>
      <c r="G905" s="14"/>
      <c r="H905" s="14"/>
      <c r="I905" s="16"/>
    </row>
    <row r="906" spans="6:9" x14ac:dyDescent="0.2">
      <c r="F906" s="14"/>
      <c r="G906" s="14"/>
      <c r="H906" s="14"/>
      <c r="I906" s="16"/>
    </row>
    <row r="907" spans="6:9" x14ac:dyDescent="0.2">
      <c r="F907" s="14"/>
      <c r="G907" s="14"/>
      <c r="H907" s="14"/>
      <c r="I907" s="16"/>
    </row>
    <row r="908" spans="6:9" x14ac:dyDescent="0.2">
      <c r="F908" s="14"/>
      <c r="G908" s="14"/>
      <c r="H908" s="14"/>
      <c r="I908" s="16"/>
    </row>
    <row r="909" spans="6:9" x14ac:dyDescent="0.2">
      <c r="F909" s="14"/>
      <c r="G909" s="14"/>
      <c r="H909" s="14"/>
      <c r="I909" s="16"/>
    </row>
    <row r="910" spans="6:9" x14ac:dyDescent="0.2">
      <c r="F910" s="14"/>
      <c r="G910" s="14"/>
      <c r="H910" s="14"/>
      <c r="I910" s="16"/>
    </row>
    <row r="911" spans="6:9" x14ac:dyDescent="0.2">
      <c r="F911" s="14"/>
      <c r="G911" s="14"/>
      <c r="H911" s="14"/>
      <c r="I911" s="16"/>
    </row>
    <row r="912" spans="6:9" x14ac:dyDescent="0.2">
      <c r="F912" s="14"/>
      <c r="G912" s="14"/>
      <c r="H912" s="14"/>
      <c r="I912" s="16"/>
    </row>
    <row r="913" spans="6:9" x14ac:dyDescent="0.2">
      <c r="F913" s="14"/>
      <c r="G913" s="14"/>
      <c r="H913" s="14"/>
      <c r="I913" s="16"/>
    </row>
    <row r="914" spans="6:9" x14ac:dyDescent="0.2">
      <c r="F914" s="14"/>
      <c r="G914" s="14"/>
      <c r="H914" s="14"/>
      <c r="I914" s="16"/>
    </row>
    <row r="915" spans="6:9" x14ac:dyDescent="0.2">
      <c r="F915" s="14"/>
      <c r="G915" s="14"/>
      <c r="H915" s="14"/>
      <c r="I915" s="16"/>
    </row>
    <row r="916" spans="6:9" x14ac:dyDescent="0.2">
      <c r="F916" s="14"/>
      <c r="G916" s="14"/>
      <c r="H916" s="14"/>
      <c r="I916" s="16"/>
    </row>
    <row r="917" spans="6:9" x14ac:dyDescent="0.2">
      <c r="F917" s="14"/>
      <c r="G917" s="14"/>
      <c r="H917" s="14"/>
      <c r="I917" s="16"/>
    </row>
    <row r="918" spans="6:9" x14ac:dyDescent="0.2">
      <c r="F918" s="14"/>
      <c r="G918" s="14"/>
      <c r="H918" s="14"/>
      <c r="I918" s="16"/>
    </row>
    <row r="919" spans="6:9" x14ac:dyDescent="0.2">
      <c r="F919" s="14"/>
      <c r="G919" s="14"/>
      <c r="H919" s="14"/>
      <c r="I919" s="16"/>
    </row>
    <row r="920" spans="6:9" x14ac:dyDescent="0.2">
      <c r="F920" s="14"/>
      <c r="G920" s="14"/>
      <c r="H920" s="14"/>
      <c r="I920" s="16"/>
    </row>
    <row r="921" spans="6:9" x14ac:dyDescent="0.2">
      <c r="F921" s="14"/>
      <c r="G921" s="14"/>
      <c r="H921" s="14"/>
      <c r="I921" s="16"/>
    </row>
    <row r="922" spans="6:9" x14ac:dyDescent="0.2">
      <c r="F922" s="14"/>
      <c r="G922" s="14"/>
      <c r="H922" s="14"/>
      <c r="I922" s="16"/>
    </row>
    <row r="923" spans="6:9" x14ac:dyDescent="0.2">
      <c r="F923" s="14"/>
      <c r="G923" s="14"/>
      <c r="H923" s="14"/>
      <c r="I923" s="16"/>
    </row>
    <row r="924" spans="6:9" x14ac:dyDescent="0.2">
      <c r="F924" s="14"/>
      <c r="G924" s="14"/>
      <c r="H924" s="14"/>
      <c r="I924" s="16"/>
    </row>
    <row r="925" spans="6:9" x14ac:dyDescent="0.2">
      <c r="F925" s="14"/>
      <c r="G925" s="14"/>
      <c r="H925" s="14"/>
      <c r="I925" s="16"/>
    </row>
    <row r="926" spans="6:9" x14ac:dyDescent="0.2">
      <c r="F926" s="14"/>
      <c r="G926" s="14"/>
      <c r="H926" s="14"/>
      <c r="I926" s="16"/>
    </row>
    <row r="927" spans="6:9" x14ac:dyDescent="0.2">
      <c r="F927" s="14"/>
      <c r="G927" s="14"/>
      <c r="H927" s="14"/>
      <c r="I927" s="16"/>
    </row>
    <row r="928" spans="6:9" x14ac:dyDescent="0.2">
      <c r="F928" s="14"/>
      <c r="G928" s="14"/>
      <c r="H928" s="14"/>
      <c r="I928" s="16"/>
    </row>
    <row r="929" spans="6:9" x14ac:dyDescent="0.2">
      <c r="F929" s="14"/>
      <c r="G929" s="14"/>
      <c r="H929" s="14"/>
      <c r="I929" s="16"/>
    </row>
    <row r="930" spans="6:9" x14ac:dyDescent="0.2">
      <c r="F930" s="14"/>
      <c r="G930" s="14"/>
      <c r="H930" s="14"/>
      <c r="I930" s="16"/>
    </row>
    <row r="931" spans="6:9" x14ac:dyDescent="0.2">
      <c r="F931" s="14"/>
      <c r="G931" s="14"/>
      <c r="H931" s="14"/>
      <c r="I931" s="16"/>
    </row>
    <row r="932" spans="6:9" x14ac:dyDescent="0.2">
      <c r="F932" s="14"/>
      <c r="G932" s="14"/>
      <c r="H932" s="14"/>
      <c r="I932" s="16"/>
    </row>
    <row r="933" spans="6:9" x14ac:dyDescent="0.2">
      <c r="F933" s="14"/>
      <c r="G933" s="14"/>
      <c r="H933" s="14"/>
      <c r="I933" s="16"/>
    </row>
    <row r="934" spans="6:9" x14ac:dyDescent="0.2">
      <c r="F934" s="14"/>
      <c r="G934" s="14"/>
      <c r="H934" s="14"/>
      <c r="I934" s="16"/>
    </row>
    <row r="935" spans="6:9" x14ac:dyDescent="0.2">
      <c r="F935" s="14"/>
      <c r="G935" s="14"/>
      <c r="H935" s="14"/>
      <c r="I935" s="16"/>
    </row>
    <row r="936" spans="6:9" x14ac:dyDescent="0.2">
      <c r="F936" s="14"/>
      <c r="G936" s="14"/>
      <c r="H936" s="14"/>
      <c r="I936" s="16"/>
    </row>
    <row r="937" spans="6:9" x14ac:dyDescent="0.2">
      <c r="F937" s="14"/>
      <c r="G937" s="14"/>
      <c r="H937" s="14"/>
      <c r="I937" s="16"/>
    </row>
    <row r="938" spans="6:9" x14ac:dyDescent="0.2">
      <c r="F938" s="14"/>
      <c r="G938" s="14"/>
      <c r="H938" s="14"/>
      <c r="I938" s="16"/>
    </row>
    <row r="939" spans="6:9" x14ac:dyDescent="0.2">
      <c r="F939" s="14"/>
      <c r="G939" s="14"/>
      <c r="H939" s="14"/>
      <c r="I939" s="16"/>
    </row>
    <row r="940" spans="6:9" x14ac:dyDescent="0.2">
      <c r="F940" s="14"/>
      <c r="G940" s="14"/>
      <c r="H940" s="14"/>
      <c r="I940" s="16"/>
    </row>
    <row r="941" spans="6:9" x14ac:dyDescent="0.2">
      <c r="F941" s="14"/>
      <c r="G941" s="14"/>
      <c r="H941" s="14"/>
      <c r="I941" s="16"/>
    </row>
    <row r="942" spans="6:9" x14ac:dyDescent="0.2">
      <c r="F942" s="14"/>
      <c r="G942" s="14"/>
      <c r="H942" s="14"/>
      <c r="I942" s="16"/>
    </row>
    <row r="943" spans="6:9" x14ac:dyDescent="0.2">
      <c r="F943" s="14"/>
      <c r="G943" s="14"/>
      <c r="H943" s="14"/>
      <c r="I943" s="16"/>
    </row>
    <row r="944" spans="6:9" x14ac:dyDescent="0.2">
      <c r="F944" s="14"/>
      <c r="G944" s="14"/>
      <c r="H944" s="14"/>
      <c r="I944" s="16"/>
    </row>
    <row r="945" spans="6:9" x14ac:dyDescent="0.2">
      <c r="F945" s="14"/>
      <c r="G945" s="14"/>
      <c r="H945" s="14"/>
      <c r="I945" s="16"/>
    </row>
    <row r="946" spans="6:9" x14ac:dyDescent="0.2">
      <c r="F946" s="14"/>
      <c r="G946" s="14"/>
      <c r="H946" s="14"/>
      <c r="I946" s="16"/>
    </row>
    <row r="947" spans="6:9" x14ac:dyDescent="0.2">
      <c r="F947" s="14"/>
      <c r="G947" s="14"/>
      <c r="H947" s="14"/>
      <c r="I947" s="16"/>
    </row>
    <row r="948" spans="6:9" x14ac:dyDescent="0.2">
      <c r="F948" s="14"/>
      <c r="G948" s="14"/>
      <c r="H948" s="14"/>
      <c r="I948" s="16"/>
    </row>
    <row r="949" spans="6:9" x14ac:dyDescent="0.2">
      <c r="F949" s="14"/>
      <c r="G949" s="14"/>
      <c r="H949" s="14"/>
      <c r="I949" s="16"/>
    </row>
    <row r="950" spans="6:9" x14ac:dyDescent="0.2">
      <c r="F950" s="14"/>
      <c r="G950" s="14"/>
      <c r="H950" s="14"/>
      <c r="I950" s="16"/>
    </row>
    <row r="951" spans="6:9" x14ac:dyDescent="0.2">
      <c r="F951" s="14"/>
      <c r="G951" s="14"/>
      <c r="H951" s="14"/>
      <c r="I951" s="16"/>
    </row>
    <row r="952" spans="6:9" x14ac:dyDescent="0.2">
      <c r="F952" s="14"/>
      <c r="G952" s="14"/>
      <c r="H952" s="14"/>
      <c r="I952" s="16"/>
    </row>
    <row r="953" spans="6:9" x14ac:dyDescent="0.2">
      <c r="F953" s="14"/>
      <c r="G953" s="14"/>
      <c r="H953" s="14"/>
      <c r="I953" s="16"/>
    </row>
    <row r="954" spans="6:9" x14ac:dyDescent="0.2">
      <c r="F954" s="14"/>
      <c r="G954" s="14"/>
      <c r="H954" s="14"/>
      <c r="I954" s="16"/>
    </row>
    <row r="955" spans="6:9" x14ac:dyDescent="0.2">
      <c r="F955" s="14"/>
      <c r="G955" s="14"/>
      <c r="H955" s="14"/>
      <c r="I955" s="16"/>
    </row>
    <row r="956" spans="6:9" x14ac:dyDescent="0.2">
      <c r="F956" s="14"/>
      <c r="G956" s="14"/>
      <c r="H956" s="14"/>
      <c r="I956" s="16"/>
    </row>
    <row r="957" spans="6:9" x14ac:dyDescent="0.2">
      <c r="F957" s="14"/>
      <c r="G957" s="14"/>
      <c r="H957" s="14"/>
      <c r="I957" s="16"/>
    </row>
    <row r="958" spans="6:9" x14ac:dyDescent="0.2">
      <c r="F958" s="14"/>
      <c r="G958" s="14"/>
      <c r="H958" s="14"/>
      <c r="I958" s="16"/>
    </row>
    <row r="959" spans="6:9" x14ac:dyDescent="0.2">
      <c r="F959" s="14"/>
      <c r="G959" s="14"/>
      <c r="H959" s="14"/>
      <c r="I959" s="16"/>
    </row>
    <row r="960" spans="6:9" x14ac:dyDescent="0.2">
      <c r="F960" s="14"/>
      <c r="G960" s="14"/>
      <c r="H960" s="14"/>
      <c r="I960" s="16"/>
    </row>
    <row r="961" spans="6:9" x14ac:dyDescent="0.2">
      <c r="F961" s="14"/>
      <c r="G961" s="14"/>
      <c r="H961" s="14"/>
      <c r="I961" s="16"/>
    </row>
    <row r="962" spans="6:9" x14ac:dyDescent="0.2">
      <c r="F962" s="14"/>
      <c r="G962" s="14"/>
      <c r="H962" s="14"/>
      <c r="I962" s="16"/>
    </row>
    <row r="963" spans="6:9" x14ac:dyDescent="0.2">
      <c r="F963" s="14"/>
      <c r="G963" s="14"/>
      <c r="H963" s="14"/>
      <c r="I963" s="16"/>
    </row>
    <row r="964" spans="6:9" x14ac:dyDescent="0.2">
      <c r="F964" s="14"/>
      <c r="G964" s="14"/>
      <c r="H964" s="14"/>
      <c r="I964" s="16"/>
    </row>
    <row r="965" spans="6:9" x14ac:dyDescent="0.2">
      <c r="F965" s="14"/>
      <c r="G965" s="14"/>
      <c r="H965" s="14"/>
      <c r="I965" s="16"/>
    </row>
    <row r="966" spans="6:9" x14ac:dyDescent="0.2">
      <c r="F966" s="14"/>
      <c r="G966" s="14"/>
      <c r="H966" s="14"/>
      <c r="I966" s="16"/>
    </row>
    <row r="967" spans="6:9" x14ac:dyDescent="0.2">
      <c r="F967" s="14"/>
      <c r="G967" s="14"/>
      <c r="H967" s="14"/>
      <c r="I967" s="16"/>
    </row>
    <row r="968" spans="6:9" x14ac:dyDescent="0.2">
      <c r="F968" s="14"/>
      <c r="G968" s="14"/>
      <c r="H968" s="14"/>
      <c r="I968" s="16"/>
    </row>
    <row r="969" spans="6:9" x14ac:dyDescent="0.2">
      <c r="F969" s="14"/>
      <c r="G969" s="14"/>
      <c r="H969" s="14"/>
      <c r="I969" s="16"/>
    </row>
    <row r="970" spans="6:9" x14ac:dyDescent="0.2">
      <c r="F970" s="14"/>
      <c r="G970" s="14"/>
      <c r="H970" s="14"/>
      <c r="I970" s="16"/>
    </row>
    <row r="971" spans="6:9" x14ac:dyDescent="0.2">
      <c r="F971" s="14"/>
      <c r="G971" s="14"/>
      <c r="H971" s="14"/>
      <c r="I971" s="16"/>
    </row>
    <row r="972" spans="6:9" x14ac:dyDescent="0.2">
      <c r="F972" s="14"/>
      <c r="G972" s="14"/>
      <c r="H972" s="14"/>
      <c r="I972" s="16"/>
    </row>
    <row r="973" spans="6:9" x14ac:dyDescent="0.2">
      <c r="F973" s="14"/>
      <c r="G973" s="14"/>
      <c r="H973" s="14"/>
      <c r="I973" s="16"/>
    </row>
    <row r="974" spans="6:9" x14ac:dyDescent="0.2">
      <c r="F974" s="14"/>
      <c r="G974" s="14"/>
      <c r="H974" s="14"/>
      <c r="I974" s="16"/>
    </row>
    <row r="975" spans="6:9" x14ac:dyDescent="0.2">
      <c r="F975" s="14"/>
      <c r="G975" s="14"/>
      <c r="H975" s="14"/>
      <c r="I975" s="16"/>
    </row>
    <row r="976" spans="6:9" x14ac:dyDescent="0.2">
      <c r="F976" s="14"/>
      <c r="G976" s="14"/>
      <c r="H976" s="14"/>
      <c r="I976" s="16"/>
    </row>
    <row r="977" spans="6:9" x14ac:dyDescent="0.2">
      <c r="F977" s="14"/>
      <c r="G977" s="14"/>
      <c r="H977" s="14"/>
      <c r="I977" s="16"/>
    </row>
    <row r="978" spans="6:9" x14ac:dyDescent="0.2">
      <c r="F978" s="14"/>
      <c r="G978" s="14"/>
      <c r="H978" s="14"/>
      <c r="I978" s="16"/>
    </row>
    <row r="979" spans="6:9" x14ac:dyDescent="0.2">
      <c r="F979" s="14"/>
      <c r="G979" s="14"/>
      <c r="H979" s="14"/>
      <c r="I979" s="16"/>
    </row>
    <row r="980" spans="6:9" x14ac:dyDescent="0.2">
      <c r="F980" s="14"/>
      <c r="G980" s="14"/>
      <c r="H980" s="14"/>
      <c r="I980" s="16"/>
    </row>
    <row r="981" spans="6:9" x14ac:dyDescent="0.2">
      <c r="F981" s="14"/>
      <c r="G981" s="14"/>
      <c r="H981" s="14"/>
      <c r="I981" s="16"/>
    </row>
    <row r="982" spans="6:9" x14ac:dyDescent="0.2">
      <c r="F982" s="14"/>
      <c r="G982" s="14"/>
      <c r="H982" s="14"/>
      <c r="I982" s="16"/>
    </row>
    <row r="983" spans="6:9" x14ac:dyDescent="0.2">
      <c r="F983" s="14"/>
      <c r="G983" s="14"/>
      <c r="H983" s="14"/>
      <c r="I983" s="16"/>
    </row>
    <row r="984" spans="6:9" x14ac:dyDescent="0.2">
      <c r="F984" s="14"/>
      <c r="G984" s="14"/>
      <c r="H984" s="14"/>
      <c r="I984" s="16"/>
    </row>
    <row r="985" spans="6:9" x14ac:dyDescent="0.2">
      <c r="F985" s="14"/>
      <c r="G985" s="14"/>
      <c r="H985" s="14"/>
      <c r="I985" s="16"/>
    </row>
    <row r="986" spans="6:9" x14ac:dyDescent="0.2">
      <c r="F986" s="14"/>
      <c r="G986" s="14"/>
      <c r="H986" s="14"/>
      <c r="I986" s="16"/>
    </row>
    <row r="987" spans="6:9" x14ac:dyDescent="0.2">
      <c r="F987" s="14"/>
      <c r="G987" s="14"/>
      <c r="H987" s="14"/>
      <c r="I987" s="16"/>
    </row>
    <row r="988" spans="6:9" x14ac:dyDescent="0.2">
      <c r="F988" s="14"/>
      <c r="G988" s="14"/>
      <c r="H988" s="14"/>
      <c r="I988" s="16"/>
    </row>
    <row r="989" spans="6:9" x14ac:dyDescent="0.2">
      <c r="F989" s="14"/>
      <c r="G989" s="14"/>
      <c r="H989" s="14"/>
      <c r="I989" s="16"/>
    </row>
    <row r="990" spans="6:9" x14ac:dyDescent="0.2">
      <c r="F990" s="14"/>
      <c r="G990" s="14"/>
      <c r="H990" s="14"/>
      <c r="I990" s="16"/>
    </row>
    <row r="991" spans="6:9" x14ac:dyDescent="0.2">
      <c r="F991" s="14"/>
      <c r="G991" s="14"/>
      <c r="H991" s="14"/>
      <c r="I991" s="16"/>
    </row>
    <row r="992" spans="6:9" x14ac:dyDescent="0.2">
      <c r="F992" s="14"/>
      <c r="G992" s="14"/>
      <c r="H992" s="14"/>
      <c r="I992" s="16"/>
    </row>
    <row r="993" spans="6:9" x14ac:dyDescent="0.2">
      <c r="F993" s="14"/>
      <c r="G993" s="14"/>
      <c r="H993" s="14"/>
      <c r="I993" s="16"/>
    </row>
    <row r="994" spans="6:9" x14ac:dyDescent="0.2">
      <c r="F994" s="14"/>
      <c r="G994" s="14"/>
      <c r="H994" s="14"/>
      <c r="I994" s="16"/>
    </row>
    <row r="995" spans="6:9" x14ac:dyDescent="0.2">
      <c r="F995" s="14"/>
      <c r="G995" s="14"/>
      <c r="H995" s="14"/>
      <c r="I995" s="16"/>
    </row>
    <row r="996" spans="6:9" x14ac:dyDescent="0.2">
      <c r="F996" s="14"/>
      <c r="G996" s="14"/>
      <c r="H996" s="14"/>
      <c r="I996" s="16"/>
    </row>
    <row r="997" spans="6:9" x14ac:dyDescent="0.2">
      <c r="F997" s="14"/>
      <c r="G997" s="14"/>
      <c r="H997" s="14"/>
      <c r="I997" s="16"/>
    </row>
    <row r="998" spans="6:9" x14ac:dyDescent="0.2">
      <c r="F998" s="14"/>
      <c r="G998" s="14"/>
      <c r="H998" s="14"/>
      <c r="I998" s="16"/>
    </row>
    <row r="999" spans="6:9" x14ac:dyDescent="0.2">
      <c r="F999" s="14"/>
      <c r="G999" s="14"/>
      <c r="H999" s="14"/>
      <c r="I999" s="16"/>
    </row>
    <row r="1000" spans="6:9" x14ac:dyDescent="0.2">
      <c r="F1000" s="14"/>
      <c r="G1000" s="14"/>
      <c r="H1000" s="14"/>
      <c r="I1000" s="16"/>
    </row>
  </sheetData>
  <mergeCells count="1">
    <mergeCell ref="I3:N3"/>
  </mergeCells>
  <conditionalFormatting sqref="A6:A55">
    <cfRule type="expression" dxfId="12" priority="1">
      <formula>A6="CRITICAL"</formula>
    </cfRule>
  </conditionalFormatting>
  <conditionalFormatting sqref="A6:A55">
    <cfRule type="expression" dxfId="11" priority="2">
      <formula>A6="HIGH"</formula>
    </cfRule>
  </conditionalFormatting>
  <conditionalFormatting sqref="A6:A55">
    <cfRule type="expression" dxfId="10" priority="3">
      <formula>A6="MEDIUM"</formula>
    </cfRule>
  </conditionalFormatting>
  <conditionalFormatting sqref="E60:E1000">
    <cfRule type="expression" dxfId="9" priority="4">
      <formula>E60="RESOLVED"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510A-D55E-5D43-A5B0-586D9E0518CA}">
  <dimension ref="A1:N35"/>
  <sheetViews>
    <sheetView showGridLines="0" topLeftCell="G1" workbookViewId="0">
      <pane ySplit="5" topLeftCell="A11" activePane="bottomLeft" state="frozen"/>
      <selection pane="bottomLeft"/>
    </sheetView>
  </sheetViews>
  <sheetFormatPr baseColWidth="10" defaultRowHeight="16" x14ac:dyDescent="0.2"/>
  <cols>
    <col min="1" max="1" width="20" style="3" customWidth="1"/>
    <col min="2" max="6" width="15.83203125" style="3" customWidth="1"/>
    <col min="7" max="7" width="43.83203125" style="3" customWidth="1"/>
    <col min="8" max="8" width="10.83203125" style="3"/>
    <col min="9" max="14" width="18.33203125" style="3" customWidth="1"/>
  </cols>
  <sheetData>
    <row r="1" spans="1:14" ht="24" x14ac:dyDescent="0.3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2" t="s">
        <v>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x14ac:dyDescent="0.2">
      <c r="A4" s="5" t="s">
        <v>87</v>
      </c>
      <c r="B4" s="5"/>
      <c r="C4" s="5"/>
      <c r="D4" s="5"/>
      <c r="F4" s="5" t="s">
        <v>148</v>
      </c>
      <c r="G4" s="5"/>
      <c r="H4" s="5"/>
      <c r="I4" s="5"/>
      <c r="J4" s="5"/>
      <c r="K4" s="5"/>
    </row>
    <row r="5" spans="1:14" ht="35" thickBot="1" x14ac:dyDescent="0.25">
      <c r="A5" s="7" t="s">
        <v>88</v>
      </c>
      <c r="B5" s="7" t="s">
        <v>89</v>
      </c>
      <c r="C5" s="7" t="s">
        <v>90</v>
      </c>
      <c r="D5" s="7" t="s">
        <v>65</v>
      </c>
      <c r="F5" s="6" t="s">
        <v>149</v>
      </c>
      <c r="G5" s="6" t="s">
        <v>150</v>
      </c>
    </row>
    <row r="6" spans="1:14" ht="102" x14ac:dyDescent="0.2">
      <c r="A6" s="3" t="s">
        <v>91</v>
      </c>
      <c r="B6" s="3" t="s">
        <v>379</v>
      </c>
      <c r="C6" s="3" t="s">
        <v>92</v>
      </c>
      <c r="D6" s="3" t="str">
        <f>"CONNECTED ("&amp;ROWS(market_overview[symbol])&amp;" rows)"</f>
        <v>CONNECTED (32 rows)</v>
      </c>
      <c r="F6" s="3" t="s">
        <v>151</v>
      </c>
      <c r="G6" s="18" t="s">
        <v>152</v>
      </c>
    </row>
    <row r="7" spans="1:14" ht="153" x14ac:dyDescent="0.2">
      <c r="A7" s="3" t="s">
        <v>93</v>
      </c>
      <c r="B7" s="3" t="s">
        <v>380</v>
      </c>
      <c r="C7" s="3" t="s">
        <v>94</v>
      </c>
      <c r="D7" s="3" t="str">
        <f>"CONNECTED ("&amp;ROWS(quotes[symbol])&amp;" rows)"</f>
        <v>CONNECTED (16 rows)</v>
      </c>
      <c r="F7" s="3" t="s">
        <v>153</v>
      </c>
      <c r="G7" s="18" t="s">
        <v>154</v>
      </c>
    </row>
    <row r="8" spans="1:14" ht="119" x14ac:dyDescent="0.2">
      <c r="A8" s="3" t="s">
        <v>95</v>
      </c>
      <c r="B8" s="3" t="s">
        <v>381</v>
      </c>
      <c r="C8" s="3" t="s">
        <v>96</v>
      </c>
      <c r="D8" s="3" t="str">
        <f>"CONNECTED ("&amp;ROWS(macro[indicator])&amp;" rows)"</f>
        <v>CONNECTED (6 rows)</v>
      </c>
      <c r="F8" s="3" t="s">
        <v>40</v>
      </c>
      <c r="G8" s="18" t="s">
        <v>155</v>
      </c>
    </row>
    <row r="9" spans="1:14" ht="136" x14ac:dyDescent="0.2">
      <c r="A9" s="3" t="s">
        <v>97</v>
      </c>
      <c r="B9" s="3" t="s">
        <v>382</v>
      </c>
      <c r="C9" s="3" t="s">
        <v>98</v>
      </c>
      <c r="D9" s="3" t="str">
        <f>"CONNECTED ("&amp;ROWS(incidents[status])&amp;" rows)"</f>
        <v>CONNECTED (17 rows)</v>
      </c>
      <c r="F9" s="3" t="s">
        <v>156</v>
      </c>
      <c r="G9" s="18" t="s">
        <v>157</v>
      </c>
    </row>
    <row r="10" spans="1:14" ht="119" x14ac:dyDescent="0.2">
      <c r="A10" s="3" t="s">
        <v>99</v>
      </c>
      <c r="B10" s="3" t="s">
        <v>383</v>
      </c>
      <c r="C10" s="3" t="s">
        <v>100</v>
      </c>
      <c r="D10" s="3" t="str">
        <f>"CONNECTED ("&amp;ROWS(quality_score[overall_score])&amp;" rows)"</f>
        <v>CONNECTED (1 rows)</v>
      </c>
      <c r="F10" s="3" t="s">
        <v>158</v>
      </c>
      <c r="G10" s="18" t="s">
        <v>159</v>
      </c>
    </row>
    <row r="11" spans="1:14" ht="136" x14ac:dyDescent="0.2">
      <c r="A11" s="3" t="s">
        <v>101</v>
      </c>
      <c r="B11" s="3" t="s">
        <v>384</v>
      </c>
      <c r="C11" s="3" t="s">
        <v>102</v>
      </c>
      <c r="D11" s="3" t="str">
        <f>"CONNECTED ("&amp;ROWS(quality_history[overall_score])&amp;" rows)"</f>
        <v>CONNECTED (59 rows)</v>
      </c>
      <c r="F11" s="3" t="s">
        <v>160</v>
      </c>
      <c r="G11" s="18" t="s">
        <v>161</v>
      </c>
    </row>
    <row r="13" spans="1:14" x14ac:dyDescent="0.2">
      <c r="A13" s="4" t="s">
        <v>103</v>
      </c>
      <c r="B13" s="3" t="s">
        <v>385</v>
      </c>
    </row>
    <row r="15" spans="1:14" x14ac:dyDescent="0.2">
      <c r="A15" s="19" t="s">
        <v>162</v>
      </c>
      <c r="B15" s="20">
        <v>46289</v>
      </c>
      <c r="C15" s="19" t="s">
        <v>163</v>
      </c>
      <c r="D15" s="19" t="s">
        <v>407</v>
      </c>
    </row>
    <row r="17" spans="1:14" ht="17" thickBot="1" x14ac:dyDescent="0.25">
      <c r="A17" s="126" t="s">
        <v>408</v>
      </c>
      <c r="B17" s="126"/>
      <c r="C17" s="126"/>
      <c r="D17" s="126"/>
      <c r="E17" s="126"/>
      <c r="F17" s="126"/>
      <c r="G17" s="126"/>
      <c r="I17" s="126" t="s">
        <v>425</v>
      </c>
      <c r="J17" s="126"/>
      <c r="K17" s="126"/>
      <c r="L17" s="126"/>
      <c r="M17" s="126"/>
      <c r="N17" s="126"/>
    </row>
    <row r="18" spans="1:14" ht="17" thickTop="1" x14ac:dyDescent="0.2">
      <c r="A18" s="125" t="s">
        <v>409</v>
      </c>
      <c r="B18" s="125" t="s">
        <v>410</v>
      </c>
      <c r="C18" s="125"/>
      <c r="D18" s="125"/>
      <c r="E18" s="125"/>
      <c r="F18" s="125"/>
      <c r="G18" s="125"/>
      <c r="I18" s="125" t="s">
        <v>426</v>
      </c>
      <c r="J18" s="125" t="s">
        <v>427</v>
      </c>
      <c r="K18" s="125"/>
      <c r="L18" s="125"/>
      <c r="M18" s="125"/>
      <c r="N18" s="125"/>
    </row>
    <row r="19" spans="1:14" x14ac:dyDescent="0.2">
      <c r="A19" s="3" t="s">
        <v>411</v>
      </c>
      <c r="B19" s="3" t="s">
        <v>412</v>
      </c>
      <c r="I19" s="3" t="s">
        <v>428</v>
      </c>
      <c r="J19" s="3" t="s">
        <v>429</v>
      </c>
    </row>
    <row r="20" spans="1:14" x14ac:dyDescent="0.2">
      <c r="A20" s="3" t="s">
        <v>413</v>
      </c>
      <c r="B20" s="3" t="s">
        <v>414</v>
      </c>
      <c r="I20" s="3" t="s">
        <v>203</v>
      </c>
      <c r="J20" s="3" t="s">
        <v>430</v>
      </c>
    </row>
    <row r="21" spans="1:14" x14ac:dyDescent="0.2">
      <c r="A21" s="3" t="s">
        <v>415</v>
      </c>
      <c r="B21" s="3" t="s">
        <v>416</v>
      </c>
      <c r="I21" s="3" t="s">
        <v>305</v>
      </c>
      <c r="J21" s="3" t="s">
        <v>431</v>
      </c>
    </row>
    <row r="22" spans="1:14" x14ac:dyDescent="0.2">
      <c r="A22" s="3" t="s">
        <v>417</v>
      </c>
      <c r="B22" s="3" t="s">
        <v>418</v>
      </c>
      <c r="I22" s="3" t="s">
        <v>295</v>
      </c>
      <c r="J22" s="3" t="s">
        <v>432</v>
      </c>
    </row>
    <row r="23" spans="1:14" x14ac:dyDescent="0.2">
      <c r="A23" s="3" t="s">
        <v>419</v>
      </c>
      <c r="B23" s="3" t="s">
        <v>420</v>
      </c>
      <c r="I23" s="3" t="s">
        <v>433</v>
      </c>
      <c r="J23" s="3" t="s">
        <v>434</v>
      </c>
    </row>
    <row r="24" spans="1:14" x14ac:dyDescent="0.2">
      <c r="A24" s="3" t="s">
        <v>421</v>
      </c>
      <c r="B24" s="3" t="s">
        <v>422</v>
      </c>
      <c r="I24" s="3" t="s">
        <v>435</v>
      </c>
      <c r="J24" s="3" t="s">
        <v>436</v>
      </c>
    </row>
    <row r="25" spans="1:14" x14ac:dyDescent="0.2">
      <c r="A25" s="3" t="s">
        <v>423</v>
      </c>
      <c r="B25" s="3" t="s">
        <v>424</v>
      </c>
      <c r="I25" s="3" t="s">
        <v>199</v>
      </c>
      <c r="J25" s="3" t="s">
        <v>437</v>
      </c>
    </row>
    <row r="30" spans="1:14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customFormat="1" x14ac:dyDescent="0.2"/>
    <row r="34" customFormat="1" x14ac:dyDescent="0.2"/>
    <row r="35" customFormat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1237-3D61-C647-8D67-D0B7A073A93D}">
  <dimension ref="A1:Y33"/>
  <sheetViews>
    <sheetView topLeftCell="B1" workbookViewId="0">
      <selection activeCell="Z14" sqref="Z14"/>
    </sheetView>
  </sheetViews>
  <sheetFormatPr baseColWidth="10" defaultRowHeight="16" x14ac:dyDescent="0.2"/>
  <cols>
    <col min="1" max="1" width="9.6640625" bestFit="1" customWidth="1"/>
    <col min="2" max="2" width="26.1640625" bestFit="1" customWidth="1"/>
    <col min="3" max="3" width="11.1640625" bestFit="1" customWidth="1"/>
    <col min="4" max="4" width="9.83203125" bestFit="1" customWidth="1"/>
    <col min="5" max="5" width="12.1640625" bestFit="1" customWidth="1"/>
    <col min="6" max="6" width="10.1640625" bestFit="1" customWidth="1"/>
    <col min="7" max="8" width="12.83203125" bestFit="1" customWidth="1"/>
    <col min="9" max="9" width="21.33203125" bestFit="1" customWidth="1"/>
    <col min="10" max="10" width="23" bestFit="1" customWidth="1"/>
    <col min="11" max="11" width="18.83203125" bestFit="1" customWidth="1"/>
    <col min="12" max="12" width="20" bestFit="1" customWidth="1"/>
    <col min="13" max="13" width="22.33203125" bestFit="1" customWidth="1"/>
    <col min="14" max="15" width="9.1640625" bestFit="1" customWidth="1"/>
    <col min="16" max="16" width="10.1640625" bestFit="1" customWidth="1"/>
    <col min="17" max="17" width="13.1640625" bestFit="1" customWidth="1"/>
    <col min="18" max="18" width="20.1640625" bestFit="1" customWidth="1"/>
    <col min="19" max="19" width="17.33203125" bestFit="1" customWidth="1"/>
    <col min="20" max="20" width="14.33203125" bestFit="1" customWidth="1"/>
    <col min="21" max="21" width="13.83203125" bestFit="1" customWidth="1"/>
    <col min="22" max="22" width="21" bestFit="1" customWidth="1"/>
    <col min="23" max="23" width="20" bestFit="1" customWidth="1"/>
    <col min="24" max="24" width="23.33203125" bestFit="1" customWidth="1"/>
    <col min="25" max="25" width="22" bestFit="1" customWidth="1"/>
  </cols>
  <sheetData>
    <row r="1" spans="1:25" x14ac:dyDescent="0.2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  <c r="U1" t="s">
        <v>184</v>
      </c>
      <c r="V1" t="s">
        <v>185</v>
      </c>
      <c r="W1" t="s">
        <v>186</v>
      </c>
      <c r="X1" t="s">
        <v>187</v>
      </c>
      <c r="Y1" t="s">
        <v>188</v>
      </c>
    </row>
    <row r="2" spans="1:25" x14ac:dyDescent="0.2">
      <c r="A2" s="40" t="s">
        <v>189</v>
      </c>
      <c r="B2" s="40" t="s">
        <v>5</v>
      </c>
      <c r="C2" s="40" t="s">
        <v>190</v>
      </c>
      <c r="D2" s="40" t="s">
        <v>191</v>
      </c>
      <c r="E2">
        <v>7703.830078125</v>
      </c>
      <c r="F2">
        <v>200924000</v>
      </c>
      <c r="G2">
        <v>-8.0803267697060477</v>
      </c>
      <c r="H2">
        <v>-1.7069013003144675</v>
      </c>
      <c r="I2">
        <v>104.00885653333333</v>
      </c>
      <c r="J2" s="40" t="s">
        <v>198</v>
      </c>
      <c r="K2" s="40" t="s">
        <v>199</v>
      </c>
      <c r="L2" s="40" t="s">
        <v>193</v>
      </c>
      <c r="M2" s="40" t="s">
        <v>194</v>
      </c>
      <c r="S2" s="40" t="s">
        <v>195</v>
      </c>
      <c r="T2" s="40" t="s">
        <v>195</v>
      </c>
      <c r="U2" s="40" t="s">
        <v>195</v>
      </c>
      <c r="V2" s="40" t="s">
        <v>195</v>
      </c>
      <c r="W2" s="40" t="s">
        <v>194</v>
      </c>
      <c r="X2" s="41">
        <v>46289.735422812497</v>
      </c>
      <c r="Y2" s="41"/>
    </row>
    <row r="3" spans="1:25" x14ac:dyDescent="0.2">
      <c r="A3" s="40" t="s">
        <v>196</v>
      </c>
      <c r="B3" s="40" t="s">
        <v>6</v>
      </c>
      <c r="C3" s="40" t="s">
        <v>190</v>
      </c>
      <c r="D3" s="40" t="s">
        <v>191</v>
      </c>
      <c r="E3">
        <v>26937.533203125</v>
      </c>
      <c r="F3">
        <v>175797000</v>
      </c>
      <c r="G3">
        <v>-5.5073992270948668</v>
      </c>
      <c r="H3">
        <v>-1.1000792330357525</v>
      </c>
      <c r="I3">
        <v>104.00885653333333</v>
      </c>
      <c r="J3" s="40" t="s">
        <v>198</v>
      </c>
      <c r="K3" s="40" t="s">
        <v>199</v>
      </c>
      <c r="L3" s="40" t="s">
        <v>193</v>
      </c>
      <c r="M3" s="40" t="s">
        <v>194</v>
      </c>
      <c r="S3" s="40" t="s">
        <v>195</v>
      </c>
      <c r="T3" s="40" t="s">
        <v>195</v>
      </c>
      <c r="U3" s="40" t="s">
        <v>195</v>
      </c>
      <c r="V3" s="40" t="s">
        <v>195</v>
      </c>
      <c r="W3" s="40" t="s">
        <v>194</v>
      </c>
      <c r="X3" s="41">
        <v>46289.735422812497</v>
      </c>
      <c r="Y3" s="41"/>
    </row>
    <row r="4" spans="1:25" x14ac:dyDescent="0.2">
      <c r="A4" s="40" t="s">
        <v>197</v>
      </c>
      <c r="B4" s="40" t="s">
        <v>7</v>
      </c>
      <c r="C4" s="40" t="s">
        <v>190</v>
      </c>
      <c r="D4" s="40" t="s">
        <v>130</v>
      </c>
      <c r="E4">
        <v>65647.2734375</v>
      </c>
      <c r="F4">
        <v>0</v>
      </c>
      <c r="G4">
        <v>0.32490028655463021</v>
      </c>
      <c r="H4">
        <v>0.32012716403979513</v>
      </c>
      <c r="I4">
        <v>914.0088565333333</v>
      </c>
      <c r="J4" s="40" t="s">
        <v>198</v>
      </c>
      <c r="K4" s="40" t="s">
        <v>199</v>
      </c>
      <c r="L4" s="40" t="s">
        <v>193</v>
      </c>
      <c r="M4" s="40" t="s">
        <v>194</v>
      </c>
      <c r="S4" s="40" t="s">
        <v>195</v>
      </c>
      <c r="T4" s="40" t="s">
        <v>195</v>
      </c>
      <c r="U4" s="40" t="s">
        <v>195</v>
      </c>
      <c r="V4" s="40" t="s">
        <v>195</v>
      </c>
      <c r="W4" s="40" t="s">
        <v>194</v>
      </c>
      <c r="X4" s="41">
        <v>46289.735422812497</v>
      </c>
      <c r="Y4" s="41"/>
    </row>
    <row r="5" spans="1:25" x14ac:dyDescent="0.2">
      <c r="A5" s="40" t="s">
        <v>200</v>
      </c>
      <c r="B5" s="40" t="s">
        <v>201</v>
      </c>
      <c r="C5" s="40" t="s">
        <v>202</v>
      </c>
      <c r="D5" s="40" t="s">
        <v>191</v>
      </c>
      <c r="E5">
        <v>15.670000076293945</v>
      </c>
      <c r="F5">
        <v>0</v>
      </c>
      <c r="G5">
        <v>44.87159814904107</v>
      </c>
      <c r="H5">
        <v>1.1967629145266416</v>
      </c>
      <c r="I5">
        <v>89.008856533333329</v>
      </c>
      <c r="J5" s="40" t="s">
        <v>198</v>
      </c>
      <c r="K5" s="40" t="s">
        <v>199</v>
      </c>
      <c r="L5" s="40" t="s">
        <v>193</v>
      </c>
      <c r="M5" s="40" t="s">
        <v>194</v>
      </c>
      <c r="S5" s="40" t="s">
        <v>195</v>
      </c>
      <c r="T5" s="40" t="s">
        <v>195</v>
      </c>
      <c r="U5" s="40" t="s">
        <v>195</v>
      </c>
      <c r="V5" s="40" t="s">
        <v>195</v>
      </c>
      <c r="W5" s="40" t="s">
        <v>194</v>
      </c>
      <c r="X5" s="41">
        <v>46289.735422812497</v>
      </c>
      <c r="Y5" s="41"/>
    </row>
    <row r="6" spans="1:25" x14ac:dyDescent="0.2">
      <c r="A6" s="40" t="s">
        <v>204</v>
      </c>
      <c r="B6" s="40" t="s">
        <v>8</v>
      </c>
      <c r="C6" s="40" t="s">
        <v>205</v>
      </c>
      <c r="D6" s="40" t="s">
        <v>206</v>
      </c>
      <c r="E6">
        <v>158.75700378417969</v>
      </c>
      <c r="F6">
        <v>0</v>
      </c>
      <c r="G6">
        <v>-1.3857734879241246</v>
      </c>
      <c r="H6">
        <v>-0.64539379059053159</v>
      </c>
      <c r="I6">
        <v>4.0088565333333337</v>
      </c>
      <c r="J6" s="40" t="s">
        <v>192</v>
      </c>
      <c r="K6" s="40" t="s">
        <v>193</v>
      </c>
      <c r="L6" s="40" t="s">
        <v>193</v>
      </c>
      <c r="M6" s="40" t="s">
        <v>194</v>
      </c>
      <c r="S6" s="40" t="s">
        <v>195</v>
      </c>
      <c r="T6" s="40" t="s">
        <v>195</v>
      </c>
      <c r="U6" s="40" t="s">
        <v>195</v>
      </c>
      <c r="V6" s="40" t="s">
        <v>195</v>
      </c>
      <c r="W6" s="40" t="s">
        <v>194</v>
      </c>
      <c r="X6" s="41">
        <v>46289.735422812497</v>
      </c>
      <c r="Y6" s="41"/>
    </row>
    <row r="7" spans="1:25" x14ac:dyDescent="0.2">
      <c r="A7" s="40" t="s">
        <v>207</v>
      </c>
      <c r="B7" s="40" t="s">
        <v>208</v>
      </c>
      <c r="C7" s="40" t="s">
        <v>209</v>
      </c>
      <c r="D7" s="40" t="s">
        <v>206</v>
      </c>
      <c r="E7">
        <v>4310.10009765625</v>
      </c>
      <c r="F7">
        <v>287</v>
      </c>
      <c r="G7">
        <v>3.713816075781029</v>
      </c>
      <c r="H7">
        <v>0.72418012641785479</v>
      </c>
      <c r="I7">
        <v>44.008856533333329</v>
      </c>
      <c r="J7" s="40" t="s">
        <v>192</v>
      </c>
      <c r="K7" s="40" t="s">
        <v>203</v>
      </c>
      <c r="L7" s="40" t="s">
        <v>193</v>
      </c>
      <c r="M7" s="40" t="s">
        <v>142</v>
      </c>
      <c r="S7" s="40" t="s">
        <v>195</v>
      </c>
      <c r="T7" s="40" t="s">
        <v>195</v>
      </c>
      <c r="U7" s="40" t="s">
        <v>195</v>
      </c>
      <c r="V7" s="40" t="s">
        <v>195</v>
      </c>
      <c r="W7" s="40" t="s">
        <v>142</v>
      </c>
      <c r="X7" s="41">
        <v>46289.735422812497</v>
      </c>
      <c r="Y7" s="41"/>
    </row>
    <row r="8" spans="1:25" x14ac:dyDescent="0.2">
      <c r="A8" s="40" t="s">
        <v>210</v>
      </c>
      <c r="B8" s="40" t="s">
        <v>10</v>
      </c>
      <c r="C8" s="40" t="s">
        <v>211</v>
      </c>
      <c r="D8" s="40" t="s">
        <v>206</v>
      </c>
      <c r="E8">
        <v>84420.4296875</v>
      </c>
      <c r="F8">
        <v>0</v>
      </c>
      <c r="G8">
        <v>-6.3795275061862</v>
      </c>
      <c r="H8">
        <v>-0.82799135238872812</v>
      </c>
      <c r="I8">
        <v>4.0088565333333337</v>
      </c>
      <c r="J8" s="40" t="s">
        <v>192</v>
      </c>
      <c r="K8" s="40" t="s">
        <v>193</v>
      </c>
      <c r="L8" s="40" t="s">
        <v>193</v>
      </c>
      <c r="M8" s="40" t="s">
        <v>194</v>
      </c>
      <c r="N8">
        <v>84411.36</v>
      </c>
      <c r="O8">
        <v>84431.97</v>
      </c>
      <c r="P8">
        <v>84421.665000000008</v>
      </c>
      <c r="Q8">
        <v>2.4413164559121854</v>
      </c>
      <c r="R8">
        <v>22.672384999999998</v>
      </c>
      <c r="S8" s="40" t="s">
        <v>193</v>
      </c>
      <c r="T8" s="40" t="s">
        <v>193</v>
      </c>
      <c r="U8" s="40" t="s">
        <v>193</v>
      </c>
      <c r="V8" s="40" t="s">
        <v>194</v>
      </c>
      <c r="W8" s="40" t="s">
        <v>194</v>
      </c>
      <c r="X8" s="41">
        <v>46289.735422812497</v>
      </c>
      <c r="Y8" s="41">
        <v>46289.735422812497</v>
      </c>
    </row>
    <row r="9" spans="1:25" x14ac:dyDescent="0.2">
      <c r="A9" s="40" t="s">
        <v>212</v>
      </c>
      <c r="B9" s="40" t="s">
        <v>213</v>
      </c>
      <c r="C9" s="40" t="s">
        <v>214</v>
      </c>
      <c r="D9" s="40" t="s">
        <v>130</v>
      </c>
      <c r="E9">
        <v>5526</v>
      </c>
      <c r="F9">
        <v>182000</v>
      </c>
      <c r="G9">
        <v>7.243752263672576</v>
      </c>
      <c r="H9">
        <v>0.9427824146379471</v>
      </c>
      <c r="I9">
        <v>919.0088565333333</v>
      </c>
      <c r="J9" s="40" t="s">
        <v>198</v>
      </c>
      <c r="K9" s="40" t="s">
        <v>199</v>
      </c>
      <c r="L9" s="40" t="s">
        <v>193</v>
      </c>
      <c r="M9" s="40" t="s">
        <v>194</v>
      </c>
      <c r="S9" s="40" t="s">
        <v>195</v>
      </c>
      <c r="T9" s="40" t="s">
        <v>195</v>
      </c>
      <c r="U9" s="40" t="s">
        <v>195</v>
      </c>
      <c r="V9" s="40" t="s">
        <v>195</v>
      </c>
      <c r="W9" s="40" t="s">
        <v>194</v>
      </c>
      <c r="X9" s="41">
        <v>46289.735422812497</v>
      </c>
      <c r="Y9" s="41"/>
    </row>
    <row r="10" spans="1:25" x14ac:dyDescent="0.2">
      <c r="A10" s="40" t="s">
        <v>215</v>
      </c>
      <c r="B10" s="40" t="s">
        <v>216</v>
      </c>
      <c r="C10" s="40" t="s">
        <v>214</v>
      </c>
      <c r="D10" s="40" t="s">
        <v>130</v>
      </c>
      <c r="E10">
        <v>3694</v>
      </c>
      <c r="F10">
        <v>434300</v>
      </c>
      <c r="G10">
        <v>13.553808620221375</v>
      </c>
      <c r="H10">
        <v>2.0410005548441084</v>
      </c>
      <c r="I10">
        <v>919.0088565333333</v>
      </c>
      <c r="J10" s="40" t="s">
        <v>198</v>
      </c>
      <c r="K10" s="40" t="s">
        <v>199</v>
      </c>
      <c r="L10" s="40" t="s">
        <v>193</v>
      </c>
      <c r="M10" s="40" t="s">
        <v>194</v>
      </c>
      <c r="S10" s="40" t="s">
        <v>195</v>
      </c>
      <c r="T10" s="40" t="s">
        <v>195</v>
      </c>
      <c r="U10" s="40" t="s">
        <v>195</v>
      </c>
      <c r="V10" s="40" t="s">
        <v>195</v>
      </c>
      <c r="W10" s="40" t="s">
        <v>194</v>
      </c>
      <c r="X10" s="41">
        <v>46289.735422812497</v>
      </c>
      <c r="Y10" s="41"/>
    </row>
    <row r="11" spans="1:25" x14ac:dyDescent="0.2">
      <c r="A11" s="40" t="s">
        <v>217</v>
      </c>
      <c r="B11" s="40" t="s">
        <v>218</v>
      </c>
      <c r="C11" s="40" t="s">
        <v>214</v>
      </c>
      <c r="D11" s="40" t="s">
        <v>130</v>
      </c>
      <c r="E11">
        <v>77650</v>
      </c>
      <c r="F11">
        <v>18600</v>
      </c>
      <c r="G11">
        <v>23.234800567961678</v>
      </c>
      <c r="H11">
        <v>2.862189018210576</v>
      </c>
      <c r="I11">
        <v>919.0088565333333</v>
      </c>
      <c r="J11" s="40" t="s">
        <v>198</v>
      </c>
      <c r="K11" s="40" t="s">
        <v>199</v>
      </c>
      <c r="L11" s="40" t="s">
        <v>193</v>
      </c>
      <c r="M11" s="40" t="s">
        <v>194</v>
      </c>
      <c r="S11" s="40" t="s">
        <v>195</v>
      </c>
      <c r="T11" s="40" t="s">
        <v>195</v>
      </c>
      <c r="U11" s="40" t="s">
        <v>195</v>
      </c>
      <c r="V11" s="40" t="s">
        <v>195</v>
      </c>
      <c r="W11" s="40" t="s">
        <v>194</v>
      </c>
      <c r="X11" s="41">
        <v>46289.735422812497</v>
      </c>
      <c r="Y11" s="41"/>
    </row>
    <row r="12" spans="1:25" x14ac:dyDescent="0.2">
      <c r="A12" s="40" t="s">
        <v>219</v>
      </c>
      <c r="B12" s="40" t="s">
        <v>220</v>
      </c>
      <c r="C12" s="40" t="s">
        <v>214</v>
      </c>
      <c r="D12" s="40" t="s">
        <v>130</v>
      </c>
      <c r="E12">
        <v>3928</v>
      </c>
      <c r="F12">
        <v>288800</v>
      </c>
      <c r="G12">
        <v>-2.5451768897943872</v>
      </c>
      <c r="H12">
        <v>-0.1046378178287246</v>
      </c>
      <c r="I12">
        <v>919.0088565333333</v>
      </c>
      <c r="J12" s="40" t="s">
        <v>198</v>
      </c>
      <c r="K12" s="40" t="s">
        <v>199</v>
      </c>
      <c r="L12" s="40" t="s">
        <v>193</v>
      </c>
      <c r="M12" s="40" t="s">
        <v>194</v>
      </c>
      <c r="S12" s="40" t="s">
        <v>195</v>
      </c>
      <c r="T12" s="40" t="s">
        <v>195</v>
      </c>
      <c r="U12" s="40" t="s">
        <v>195</v>
      </c>
      <c r="V12" s="40" t="s">
        <v>195</v>
      </c>
      <c r="W12" s="40" t="s">
        <v>194</v>
      </c>
      <c r="X12" s="41">
        <v>46289.735422812497</v>
      </c>
      <c r="Y12" s="41"/>
    </row>
    <row r="13" spans="1:25" x14ac:dyDescent="0.2">
      <c r="A13" s="40" t="s">
        <v>221</v>
      </c>
      <c r="B13" s="40" t="s">
        <v>222</v>
      </c>
      <c r="C13" s="40" t="s">
        <v>214</v>
      </c>
      <c r="D13" s="40" t="s">
        <v>130</v>
      </c>
      <c r="E13">
        <v>2978</v>
      </c>
      <c r="F13">
        <v>367200</v>
      </c>
      <c r="G13">
        <v>-5.034401745259709</v>
      </c>
      <c r="H13">
        <v>-0.81392814438467187</v>
      </c>
      <c r="I13">
        <v>919.0088565333333</v>
      </c>
      <c r="J13" s="40" t="s">
        <v>198</v>
      </c>
      <c r="K13" s="40" t="s">
        <v>199</v>
      </c>
      <c r="L13" s="40" t="s">
        <v>193</v>
      </c>
      <c r="M13" s="40" t="s">
        <v>194</v>
      </c>
      <c r="S13" s="40" t="s">
        <v>195</v>
      </c>
      <c r="T13" s="40" t="s">
        <v>195</v>
      </c>
      <c r="U13" s="40" t="s">
        <v>195</v>
      </c>
      <c r="V13" s="40" t="s">
        <v>195</v>
      </c>
      <c r="W13" s="40" t="s">
        <v>194</v>
      </c>
      <c r="X13" s="41">
        <v>46289.735422812497</v>
      </c>
      <c r="Y13" s="41"/>
    </row>
    <row r="14" spans="1:25" x14ac:dyDescent="0.2">
      <c r="A14" s="40" t="s">
        <v>223</v>
      </c>
      <c r="B14" s="40" t="s">
        <v>224</v>
      </c>
      <c r="C14" s="40" t="s">
        <v>214</v>
      </c>
      <c r="D14" s="40" t="s">
        <v>130</v>
      </c>
      <c r="E14">
        <v>8201</v>
      </c>
      <c r="F14">
        <v>116200</v>
      </c>
      <c r="G14">
        <v>9.7644330526058809</v>
      </c>
      <c r="H14">
        <v>1.6563559760845843</v>
      </c>
      <c r="I14">
        <v>919.0088565333333</v>
      </c>
      <c r="J14" s="40" t="s">
        <v>198</v>
      </c>
      <c r="K14" s="40" t="s">
        <v>199</v>
      </c>
      <c r="L14" s="40" t="s">
        <v>193</v>
      </c>
      <c r="M14" s="40" t="s">
        <v>194</v>
      </c>
      <c r="S14" s="40" t="s">
        <v>195</v>
      </c>
      <c r="T14" s="40" t="s">
        <v>195</v>
      </c>
      <c r="U14" s="40" t="s">
        <v>195</v>
      </c>
      <c r="V14" s="40" t="s">
        <v>195</v>
      </c>
      <c r="W14" s="40" t="s">
        <v>194</v>
      </c>
      <c r="X14" s="41">
        <v>46289.735422812497</v>
      </c>
      <c r="Y14" s="41"/>
    </row>
    <row r="15" spans="1:25" x14ac:dyDescent="0.2">
      <c r="A15" s="40" t="s">
        <v>225</v>
      </c>
      <c r="B15" s="40" t="s">
        <v>226</v>
      </c>
      <c r="C15" s="40" t="s">
        <v>214</v>
      </c>
      <c r="D15" s="40" t="s">
        <v>130</v>
      </c>
      <c r="E15">
        <v>54440</v>
      </c>
      <c r="F15">
        <v>65800</v>
      </c>
      <c r="G15">
        <v>3.675119441381991</v>
      </c>
      <c r="H15">
        <v>0.26288210913032556</v>
      </c>
      <c r="I15">
        <v>919.0088565333333</v>
      </c>
      <c r="J15" s="40" t="s">
        <v>198</v>
      </c>
      <c r="K15" s="40" t="s">
        <v>199</v>
      </c>
      <c r="L15" s="40" t="s">
        <v>193</v>
      </c>
      <c r="M15" s="40" t="s">
        <v>194</v>
      </c>
      <c r="S15" s="40" t="s">
        <v>195</v>
      </c>
      <c r="T15" s="40" t="s">
        <v>195</v>
      </c>
      <c r="U15" s="40" t="s">
        <v>195</v>
      </c>
      <c r="V15" s="40" t="s">
        <v>195</v>
      </c>
      <c r="W15" s="40" t="s">
        <v>194</v>
      </c>
      <c r="X15" s="41">
        <v>46289.735422812497</v>
      </c>
      <c r="Y15" s="41"/>
    </row>
    <row r="16" spans="1:25" x14ac:dyDescent="0.2">
      <c r="A16" s="40" t="s">
        <v>227</v>
      </c>
      <c r="B16" s="40" t="s">
        <v>228</v>
      </c>
      <c r="C16" s="40" t="s">
        <v>214</v>
      </c>
      <c r="D16" s="40" t="s">
        <v>130</v>
      </c>
      <c r="E16">
        <v>3581</v>
      </c>
      <c r="F16">
        <v>396300</v>
      </c>
      <c r="G16">
        <v>5.5881531153945119</v>
      </c>
      <c r="H16">
        <v>0.54374071384539813</v>
      </c>
      <c r="I16">
        <v>919.0088565333333</v>
      </c>
      <c r="J16" s="40" t="s">
        <v>198</v>
      </c>
      <c r="K16" s="40" t="s">
        <v>199</v>
      </c>
      <c r="L16" s="40" t="s">
        <v>193</v>
      </c>
      <c r="M16" s="40" t="s">
        <v>194</v>
      </c>
      <c r="S16" s="40" t="s">
        <v>195</v>
      </c>
      <c r="T16" s="40" t="s">
        <v>195</v>
      </c>
      <c r="U16" s="40" t="s">
        <v>195</v>
      </c>
      <c r="V16" s="40" t="s">
        <v>195</v>
      </c>
      <c r="W16" s="40" t="s">
        <v>194</v>
      </c>
      <c r="X16" s="41">
        <v>46289.735422812497</v>
      </c>
      <c r="Y16" s="41"/>
    </row>
    <row r="17" spans="1:25" x14ac:dyDescent="0.2">
      <c r="A17" s="40" t="s">
        <v>229</v>
      </c>
      <c r="B17" s="40" t="s">
        <v>230</v>
      </c>
      <c r="C17" s="40" t="s">
        <v>214</v>
      </c>
      <c r="D17" s="40" t="s">
        <v>130</v>
      </c>
      <c r="E17">
        <v>67860</v>
      </c>
      <c r="F17">
        <v>11800</v>
      </c>
      <c r="G17">
        <v>-10.304725452672248</v>
      </c>
      <c r="H17">
        <v>-0.65072817659181337</v>
      </c>
      <c r="I17">
        <v>919.0088565333333</v>
      </c>
      <c r="J17" s="40" t="s">
        <v>198</v>
      </c>
      <c r="K17" s="40" t="s">
        <v>199</v>
      </c>
      <c r="L17" s="40" t="s">
        <v>193</v>
      </c>
      <c r="M17" s="40" t="s">
        <v>194</v>
      </c>
      <c r="S17" s="40" t="s">
        <v>195</v>
      </c>
      <c r="T17" s="40" t="s">
        <v>195</v>
      </c>
      <c r="U17" s="40" t="s">
        <v>195</v>
      </c>
      <c r="V17" s="40" t="s">
        <v>195</v>
      </c>
      <c r="W17" s="40" t="s">
        <v>194</v>
      </c>
      <c r="X17" s="41">
        <v>46289.735422812497</v>
      </c>
      <c r="Y17" s="41"/>
    </row>
    <row r="18" spans="1:25" x14ac:dyDescent="0.2">
      <c r="A18" s="40" t="s">
        <v>231</v>
      </c>
      <c r="B18" s="40" t="s">
        <v>232</v>
      </c>
      <c r="C18" s="40" t="s">
        <v>214</v>
      </c>
      <c r="D18" s="40" t="s">
        <v>130</v>
      </c>
      <c r="E18">
        <v>6369</v>
      </c>
      <c r="F18">
        <v>1035700</v>
      </c>
      <c r="G18">
        <v>-32.863849765257804</v>
      </c>
      <c r="H18">
        <v>-0.98071662585894848</v>
      </c>
      <c r="I18">
        <v>919.0088565333333</v>
      </c>
      <c r="J18" s="40" t="s">
        <v>198</v>
      </c>
      <c r="K18" s="40" t="s">
        <v>199</v>
      </c>
      <c r="L18" s="40" t="s">
        <v>193</v>
      </c>
      <c r="M18" s="40" t="s">
        <v>194</v>
      </c>
      <c r="S18" s="40" t="s">
        <v>195</v>
      </c>
      <c r="T18" s="40" t="s">
        <v>195</v>
      </c>
      <c r="U18" s="40" t="s">
        <v>195</v>
      </c>
      <c r="V18" s="40" t="s">
        <v>195</v>
      </c>
      <c r="W18" s="40" t="s">
        <v>194</v>
      </c>
      <c r="X18" s="41">
        <v>46289.735422812497</v>
      </c>
      <c r="Y18" s="41"/>
    </row>
    <row r="19" spans="1:25" x14ac:dyDescent="0.2">
      <c r="A19" s="40" t="s">
        <v>233</v>
      </c>
      <c r="B19" s="40" t="s">
        <v>234</v>
      </c>
      <c r="C19" s="40" t="s">
        <v>235</v>
      </c>
      <c r="D19" s="40" t="s">
        <v>191</v>
      </c>
      <c r="E19">
        <v>56.049999237060547</v>
      </c>
      <c r="F19">
        <v>2683474</v>
      </c>
      <c r="G19">
        <v>-21.363527825626338</v>
      </c>
      <c r="H19">
        <v>-2.3975018810819595</v>
      </c>
      <c r="I19">
        <v>104.00885653333333</v>
      </c>
      <c r="J19" s="40" t="s">
        <v>198</v>
      </c>
      <c r="K19" s="40" t="s">
        <v>199</v>
      </c>
      <c r="L19" s="40" t="s">
        <v>193</v>
      </c>
      <c r="M19" s="40" t="s">
        <v>194</v>
      </c>
      <c r="N19">
        <v>53.2</v>
      </c>
      <c r="O19">
        <v>59.22</v>
      </c>
      <c r="P19">
        <v>56.21</v>
      </c>
      <c r="Q19">
        <v>1070.9838107098374</v>
      </c>
      <c r="R19">
        <v>5939.9956380000003</v>
      </c>
      <c r="S19" s="40" t="s">
        <v>199</v>
      </c>
      <c r="T19" s="40" t="s">
        <v>193</v>
      </c>
      <c r="U19" s="40" t="s">
        <v>193</v>
      </c>
      <c r="V19" s="40" t="s">
        <v>194</v>
      </c>
      <c r="W19" s="40" t="s">
        <v>194</v>
      </c>
      <c r="X19" s="41">
        <v>46289.735422812497</v>
      </c>
      <c r="Y19" s="41">
        <v>46289.735422812497</v>
      </c>
    </row>
    <row r="20" spans="1:25" x14ac:dyDescent="0.2">
      <c r="A20" s="40" t="s">
        <v>236</v>
      </c>
      <c r="B20" s="40" t="s">
        <v>237</v>
      </c>
      <c r="C20" s="40" t="s">
        <v>235</v>
      </c>
      <c r="D20" s="40" t="s">
        <v>191</v>
      </c>
      <c r="E20">
        <v>805.07000732421875</v>
      </c>
      <c r="F20">
        <v>81157</v>
      </c>
      <c r="G20">
        <v>0.37301621900187598</v>
      </c>
      <c r="H20">
        <v>4.1601243161071624E-2</v>
      </c>
      <c r="I20">
        <v>104.00885653333333</v>
      </c>
      <c r="J20" s="40" t="s">
        <v>198</v>
      </c>
      <c r="K20" s="40" t="s">
        <v>199</v>
      </c>
      <c r="L20" s="40" t="s">
        <v>193</v>
      </c>
      <c r="M20" s="40" t="s">
        <v>194</v>
      </c>
      <c r="N20">
        <v>756.67</v>
      </c>
      <c r="O20">
        <v>0</v>
      </c>
      <c r="R20">
        <v>5937.5962170000003</v>
      </c>
      <c r="S20" s="40" t="s">
        <v>199</v>
      </c>
      <c r="T20" s="40" t="s">
        <v>453</v>
      </c>
      <c r="U20" s="40" t="s">
        <v>453</v>
      </c>
      <c r="V20" s="40" t="s">
        <v>142</v>
      </c>
      <c r="W20" s="40" t="s">
        <v>142</v>
      </c>
      <c r="X20" s="41">
        <v>46289.735422812497</v>
      </c>
      <c r="Y20" s="41">
        <v>46289.735422812497</v>
      </c>
    </row>
    <row r="21" spans="1:25" x14ac:dyDescent="0.2">
      <c r="A21" s="40" t="s">
        <v>238</v>
      </c>
      <c r="B21" s="40" t="s">
        <v>239</v>
      </c>
      <c r="C21" s="40" t="s">
        <v>235</v>
      </c>
      <c r="D21" s="40" t="s">
        <v>191</v>
      </c>
      <c r="E21">
        <v>896.71002197265625</v>
      </c>
      <c r="F21">
        <v>236213</v>
      </c>
      <c r="G21">
        <v>3.2328021292915565</v>
      </c>
      <c r="H21">
        <v>0.54970375565174823</v>
      </c>
      <c r="I21">
        <v>104.00885653333333</v>
      </c>
      <c r="J21" s="40" t="s">
        <v>198</v>
      </c>
      <c r="K21" s="40" t="s">
        <v>199</v>
      </c>
      <c r="L21" s="40" t="s">
        <v>193</v>
      </c>
      <c r="M21" s="40" t="s">
        <v>194</v>
      </c>
      <c r="N21">
        <v>862.88</v>
      </c>
      <c r="O21">
        <v>955.5</v>
      </c>
      <c r="P21">
        <v>909.19</v>
      </c>
      <c r="Q21">
        <v>1018.7089607232812</v>
      </c>
      <c r="R21">
        <v>5940.5273820000002</v>
      </c>
      <c r="S21" s="40" t="s">
        <v>199</v>
      </c>
      <c r="T21" s="40" t="s">
        <v>193</v>
      </c>
      <c r="U21" s="40" t="s">
        <v>193</v>
      </c>
      <c r="V21" s="40" t="s">
        <v>194</v>
      </c>
      <c r="W21" s="40" t="s">
        <v>194</v>
      </c>
      <c r="X21" s="41">
        <v>46289.735422812497</v>
      </c>
      <c r="Y21" s="41">
        <v>46289.735422812497</v>
      </c>
    </row>
    <row r="22" spans="1:25" x14ac:dyDescent="0.2">
      <c r="A22" s="40" t="s">
        <v>240</v>
      </c>
      <c r="B22" s="40" t="s">
        <v>241</v>
      </c>
      <c r="C22" s="40" t="s">
        <v>235</v>
      </c>
      <c r="D22" s="40" t="s">
        <v>191</v>
      </c>
      <c r="E22">
        <v>205.6300048828125</v>
      </c>
      <c r="F22">
        <v>454292</v>
      </c>
      <c r="G22">
        <v>-8.9885361319286261</v>
      </c>
      <c r="H22">
        <v>-0.66516708671380742</v>
      </c>
      <c r="I22">
        <v>104.00885653333333</v>
      </c>
      <c r="J22" s="40" t="s">
        <v>198</v>
      </c>
      <c r="K22" s="40" t="s">
        <v>199</v>
      </c>
      <c r="L22" s="40" t="s">
        <v>193</v>
      </c>
      <c r="M22" s="40" t="s">
        <v>194</v>
      </c>
      <c r="N22">
        <v>196.69</v>
      </c>
      <c r="O22">
        <v>217.81</v>
      </c>
      <c r="P22">
        <v>207.25</v>
      </c>
      <c r="Q22">
        <v>1019.0591073582632</v>
      </c>
      <c r="R22">
        <v>5940.5287580000004</v>
      </c>
      <c r="S22" s="40" t="s">
        <v>199</v>
      </c>
      <c r="T22" s="40" t="s">
        <v>193</v>
      </c>
      <c r="U22" s="40" t="s">
        <v>193</v>
      </c>
      <c r="V22" s="40" t="s">
        <v>194</v>
      </c>
      <c r="W22" s="40" t="s">
        <v>194</v>
      </c>
      <c r="X22" s="41">
        <v>46289.735422812497</v>
      </c>
      <c r="Y22" s="41">
        <v>46289.735422812497</v>
      </c>
    </row>
    <row r="23" spans="1:25" x14ac:dyDescent="0.2">
      <c r="A23" s="40" t="s">
        <v>242</v>
      </c>
      <c r="B23" s="40" t="s">
        <v>243</v>
      </c>
      <c r="C23" s="40" t="s">
        <v>235</v>
      </c>
      <c r="D23" s="40" t="s">
        <v>191</v>
      </c>
      <c r="E23">
        <v>319.72000122070312</v>
      </c>
      <c r="F23">
        <v>186546</v>
      </c>
      <c r="G23">
        <v>-19.042405554651197</v>
      </c>
      <c r="H23">
        <v>-1.7012317070794318</v>
      </c>
      <c r="I23">
        <v>104.00885653333333</v>
      </c>
      <c r="J23" s="40" t="s">
        <v>198</v>
      </c>
      <c r="K23" s="40" t="s">
        <v>199</v>
      </c>
      <c r="L23" s="40" t="s">
        <v>193</v>
      </c>
      <c r="M23" s="40" t="s">
        <v>194</v>
      </c>
      <c r="N23">
        <v>301.14999999999998</v>
      </c>
      <c r="O23">
        <v>333.9</v>
      </c>
      <c r="P23">
        <v>317.52499999999998</v>
      </c>
      <c r="Q23">
        <v>1031.4148492244706</v>
      </c>
      <c r="R23">
        <v>5940.52927</v>
      </c>
      <c r="S23" s="40" t="s">
        <v>199</v>
      </c>
      <c r="T23" s="40" t="s">
        <v>193</v>
      </c>
      <c r="U23" s="40" t="s">
        <v>193</v>
      </c>
      <c r="V23" s="40" t="s">
        <v>194</v>
      </c>
      <c r="W23" s="40" t="s">
        <v>194</v>
      </c>
      <c r="X23" s="41">
        <v>46289.735422812497</v>
      </c>
      <c r="Y23" s="41">
        <v>46289.735422812497</v>
      </c>
    </row>
    <row r="24" spans="1:25" x14ac:dyDescent="0.2">
      <c r="A24" s="40" t="s">
        <v>244</v>
      </c>
      <c r="B24" s="40" t="s">
        <v>245</v>
      </c>
      <c r="C24" s="40" t="s">
        <v>235</v>
      </c>
      <c r="D24" s="40" t="s">
        <v>191</v>
      </c>
      <c r="E24">
        <v>270.79000854492188</v>
      </c>
      <c r="F24">
        <v>394325</v>
      </c>
      <c r="G24">
        <v>-27.986716339913897</v>
      </c>
      <c r="H24">
        <v>-2.2091862954576498</v>
      </c>
      <c r="I24">
        <v>104.00885653333333</v>
      </c>
      <c r="J24" s="40" t="s">
        <v>198</v>
      </c>
      <c r="K24" s="40" t="s">
        <v>199</v>
      </c>
      <c r="L24" s="40" t="s">
        <v>193</v>
      </c>
      <c r="M24" s="40" t="s">
        <v>194</v>
      </c>
      <c r="N24">
        <v>260.49</v>
      </c>
      <c r="O24">
        <v>0</v>
      </c>
      <c r="R24">
        <v>5938.4182680000004</v>
      </c>
      <c r="S24" s="40" t="s">
        <v>199</v>
      </c>
      <c r="T24" s="40" t="s">
        <v>453</v>
      </c>
      <c r="U24" s="40" t="s">
        <v>453</v>
      </c>
      <c r="V24" s="40" t="s">
        <v>142</v>
      </c>
      <c r="W24" s="40" t="s">
        <v>142</v>
      </c>
      <c r="X24" s="41">
        <v>46289.735422812497</v>
      </c>
      <c r="Y24" s="41">
        <v>46289.735422812497</v>
      </c>
    </row>
    <row r="25" spans="1:25" x14ac:dyDescent="0.2">
      <c r="A25" s="40" t="s">
        <v>246</v>
      </c>
      <c r="B25" s="40" t="s">
        <v>247</v>
      </c>
      <c r="C25" s="40" t="s">
        <v>235</v>
      </c>
      <c r="D25" s="40" t="s">
        <v>191</v>
      </c>
      <c r="E25">
        <v>338.3599853515625</v>
      </c>
      <c r="F25">
        <v>614181</v>
      </c>
      <c r="G25">
        <v>6.2100091340644425</v>
      </c>
      <c r="H25">
        <v>0.82944054001381873</v>
      </c>
      <c r="I25">
        <v>104.00885653333333</v>
      </c>
      <c r="J25" s="40" t="s">
        <v>198</v>
      </c>
      <c r="K25" s="40" t="s">
        <v>199</v>
      </c>
      <c r="L25" s="40" t="s">
        <v>193</v>
      </c>
      <c r="M25" s="40" t="s">
        <v>194</v>
      </c>
      <c r="N25">
        <v>320.41000000000003</v>
      </c>
      <c r="O25">
        <v>354.9</v>
      </c>
      <c r="P25">
        <v>337.65499999999997</v>
      </c>
      <c r="Q25">
        <v>1021.4568124268841</v>
      </c>
      <c r="R25">
        <v>5940.5286850000002</v>
      </c>
      <c r="S25" s="40" t="s">
        <v>199</v>
      </c>
      <c r="T25" s="40" t="s">
        <v>193</v>
      </c>
      <c r="U25" s="40" t="s">
        <v>193</v>
      </c>
      <c r="V25" s="40" t="s">
        <v>194</v>
      </c>
      <c r="W25" s="40" t="s">
        <v>194</v>
      </c>
      <c r="X25" s="41">
        <v>46289.735422812497</v>
      </c>
      <c r="Y25" s="41">
        <v>46289.735422812497</v>
      </c>
    </row>
    <row r="26" spans="1:25" x14ac:dyDescent="0.2">
      <c r="A26" s="40" t="s">
        <v>248</v>
      </c>
      <c r="B26" s="40" t="s">
        <v>249</v>
      </c>
      <c r="C26" s="40" t="s">
        <v>235</v>
      </c>
      <c r="D26" s="40" t="s">
        <v>191</v>
      </c>
      <c r="E26">
        <v>1183.0899658203125</v>
      </c>
      <c r="F26">
        <v>171601</v>
      </c>
      <c r="G26">
        <v>-35.207270816017825</v>
      </c>
      <c r="H26">
        <v>-2.6450863196978465</v>
      </c>
      <c r="I26">
        <v>104.00885653333333</v>
      </c>
      <c r="J26" s="40" t="s">
        <v>198</v>
      </c>
      <c r="K26" s="40" t="s">
        <v>199</v>
      </c>
      <c r="L26" s="40" t="s">
        <v>193</v>
      </c>
      <c r="M26" s="40" t="s">
        <v>194</v>
      </c>
      <c r="N26">
        <v>1120.04</v>
      </c>
      <c r="O26">
        <v>1242.08</v>
      </c>
      <c r="P26">
        <v>1181.06</v>
      </c>
      <c r="Q26">
        <v>1033.3090613516667</v>
      </c>
      <c r="R26">
        <v>5937.9328770000002</v>
      </c>
      <c r="S26" s="40" t="s">
        <v>199</v>
      </c>
      <c r="T26" s="40" t="s">
        <v>193</v>
      </c>
      <c r="U26" s="40" t="s">
        <v>193</v>
      </c>
      <c r="V26" s="40" t="s">
        <v>194</v>
      </c>
      <c r="W26" s="40" t="s">
        <v>194</v>
      </c>
      <c r="X26" s="41">
        <v>46289.735422812497</v>
      </c>
      <c r="Y26" s="41">
        <v>46289.735422812497</v>
      </c>
    </row>
    <row r="27" spans="1:25" x14ac:dyDescent="0.2">
      <c r="A27" s="40" t="s">
        <v>250</v>
      </c>
      <c r="B27" s="40" t="s">
        <v>251</v>
      </c>
      <c r="C27" s="40" t="s">
        <v>235</v>
      </c>
      <c r="D27" s="40" t="s">
        <v>191</v>
      </c>
      <c r="E27">
        <v>107.54000091552734</v>
      </c>
      <c r="F27">
        <v>1735277</v>
      </c>
      <c r="G27">
        <v>-12.064474148431037</v>
      </c>
      <c r="H27">
        <v>-0.8955112281031482</v>
      </c>
      <c r="I27">
        <v>104.00885653333333</v>
      </c>
      <c r="J27" s="40" t="s">
        <v>198</v>
      </c>
      <c r="K27" s="40" t="s">
        <v>199</v>
      </c>
      <c r="L27" s="40" t="s">
        <v>193</v>
      </c>
      <c r="M27" s="40" t="s">
        <v>194</v>
      </c>
      <c r="N27">
        <v>102.89</v>
      </c>
      <c r="O27">
        <v>0</v>
      </c>
      <c r="R27">
        <v>5938.6265670000003</v>
      </c>
      <c r="S27" s="40" t="s">
        <v>199</v>
      </c>
      <c r="T27" s="40" t="s">
        <v>453</v>
      </c>
      <c r="U27" s="40" t="s">
        <v>453</v>
      </c>
      <c r="V27" s="40" t="s">
        <v>142</v>
      </c>
      <c r="W27" s="40" t="s">
        <v>142</v>
      </c>
      <c r="X27" s="41">
        <v>46289.735422812497</v>
      </c>
      <c r="Y27" s="41">
        <v>46289.735422812497</v>
      </c>
    </row>
    <row r="28" spans="1:25" x14ac:dyDescent="0.2">
      <c r="A28" s="40" t="s">
        <v>252</v>
      </c>
      <c r="B28" s="40" t="s">
        <v>253</v>
      </c>
      <c r="C28" s="40" t="s">
        <v>235</v>
      </c>
      <c r="D28" s="40" t="s">
        <v>191</v>
      </c>
      <c r="E28">
        <v>162.03999328613281</v>
      </c>
      <c r="F28">
        <v>692524</v>
      </c>
      <c r="G28">
        <v>-0.61769610839257361</v>
      </c>
      <c r="H28">
        <v>-6.0955659591329203E-2</v>
      </c>
      <c r="I28">
        <v>104.00885653333333</v>
      </c>
      <c r="J28" s="40" t="s">
        <v>198</v>
      </c>
      <c r="K28" s="40" t="s">
        <v>199</v>
      </c>
      <c r="L28" s="40" t="s">
        <v>193</v>
      </c>
      <c r="M28" s="40" t="s">
        <v>194</v>
      </c>
      <c r="N28">
        <v>154.57</v>
      </c>
      <c r="O28">
        <v>0</v>
      </c>
      <c r="R28">
        <v>5938.7022459999998</v>
      </c>
      <c r="S28" s="40" t="s">
        <v>199</v>
      </c>
      <c r="T28" s="40" t="s">
        <v>453</v>
      </c>
      <c r="U28" s="40" t="s">
        <v>453</v>
      </c>
      <c r="V28" s="40" t="s">
        <v>142</v>
      </c>
      <c r="W28" s="40" t="s">
        <v>142</v>
      </c>
      <c r="X28" s="41">
        <v>46289.735422812497</v>
      </c>
      <c r="Y28" s="41">
        <v>46289.735422812497</v>
      </c>
    </row>
    <row r="29" spans="1:25" x14ac:dyDescent="0.2">
      <c r="A29" s="40" t="s">
        <v>254</v>
      </c>
      <c r="B29" s="40" t="s">
        <v>255</v>
      </c>
      <c r="C29" s="40" t="s">
        <v>256</v>
      </c>
      <c r="D29" s="40" t="s">
        <v>191</v>
      </c>
      <c r="E29">
        <v>335.8699951171875</v>
      </c>
      <c r="F29">
        <v>1439321</v>
      </c>
      <c r="G29">
        <v>-25.540220386698344</v>
      </c>
      <c r="H29">
        <v>-2.8924447466819401</v>
      </c>
      <c r="I29">
        <v>104.00885653333333</v>
      </c>
      <c r="J29" s="40" t="s">
        <v>198</v>
      </c>
      <c r="K29" s="40" t="s">
        <v>199</v>
      </c>
      <c r="L29" s="40" t="s">
        <v>193</v>
      </c>
      <c r="M29" s="40" t="s">
        <v>194</v>
      </c>
      <c r="N29">
        <v>333.21</v>
      </c>
      <c r="O29">
        <v>0</v>
      </c>
      <c r="R29">
        <v>5938.1795499999998</v>
      </c>
      <c r="S29" s="40" t="s">
        <v>199</v>
      </c>
      <c r="T29" s="40" t="s">
        <v>453</v>
      </c>
      <c r="U29" s="40" t="s">
        <v>453</v>
      </c>
      <c r="V29" s="40" t="s">
        <v>142</v>
      </c>
      <c r="W29" s="40" t="s">
        <v>142</v>
      </c>
      <c r="X29" s="41">
        <v>46289.735422812497</v>
      </c>
      <c r="Y29" s="41">
        <v>46289.735422812497</v>
      </c>
    </row>
    <row r="30" spans="1:25" x14ac:dyDescent="0.2">
      <c r="A30" s="40" t="s">
        <v>257</v>
      </c>
      <c r="B30" s="40" t="s">
        <v>258</v>
      </c>
      <c r="C30" s="40" t="s">
        <v>256</v>
      </c>
      <c r="D30" s="40" t="s">
        <v>191</v>
      </c>
      <c r="E30">
        <v>342.42001342773438</v>
      </c>
      <c r="F30">
        <v>1168324</v>
      </c>
      <c r="G30">
        <v>-2.9188248611533574</v>
      </c>
      <c r="H30">
        <v>-0.50166714620523489</v>
      </c>
      <c r="I30">
        <v>104.00885653333333</v>
      </c>
      <c r="J30" s="40" t="s">
        <v>198</v>
      </c>
      <c r="K30" s="40" t="s">
        <v>199</v>
      </c>
      <c r="L30" s="40" t="s">
        <v>193</v>
      </c>
      <c r="M30" s="40" t="s">
        <v>194</v>
      </c>
      <c r="N30">
        <v>319.24</v>
      </c>
      <c r="O30">
        <v>359.94</v>
      </c>
      <c r="P30">
        <v>339.59000000000003</v>
      </c>
      <c r="Q30">
        <v>1198.5040784475393</v>
      </c>
      <c r="R30">
        <v>5940.5188509999998</v>
      </c>
      <c r="S30" s="40" t="s">
        <v>199</v>
      </c>
      <c r="T30" s="40" t="s">
        <v>193</v>
      </c>
      <c r="U30" s="40" t="s">
        <v>193</v>
      </c>
      <c r="V30" s="40" t="s">
        <v>194</v>
      </c>
      <c r="W30" s="40" t="s">
        <v>194</v>
      </c>
      <c r="X30" s="41">
        <v>46289.735422812497</v>
      </c>
      <c r="Y30" s="41">
        <v>46289.735422812497</v>
      </c>
    </row>
    <row r="31" spans="1:25" x14ac:dyDescent="0.2">
      <c r="A31" s="40" t="s">
        <v>259</v>
      </c>
      <c r="B31" s="40" t="s">
        <v>260</v>
      </c>
      <c r="C31" s="40" t="s">
        <v>256</v>
      </c>
      <c r="D31" s="40" t="s">
        <v>191</v>
      </c>
      <c r="E31">
        <v>777.44000244140625</v>
      </c>
      <c r="F31">
        <v>887345</v>
      </c>
      <c r="G31">
        <v>-21.775311871004011</v>
      </c>
      <c r="H31">
        <v>-1.6391190428163205</v>
      </c>
      <c r="I31">
        <v>104.00885653333333</v>
      </c>
      <c r="J31" s="40" t="s">
        <v>198</v>
      </c>
      <c r="K31" s="40" t="s">
        <v>199</v>
      </c>
      <c r="L31" s="40" t="s">
        <v>193</v>
      </c>
      <c r="M31" s="40" t="s">
        <v>194</v>
      </c>
      <c r="N31">
        <v>737.44</v>
      </c>
      <c r="O31">
        <v>812.99</v>
      </c>
      <c r="P31">
        <v>775.21500000000003</v>
      </c>
      <c r="Q31">
        <v>974.56834555574846</v>
      </c>
      <c r="R31">
        <v>5940.5291690000004</v>
      </c>
      <c r="S31" s="40" t="s">
        <v>199</v>
      </c>
      <c r="T31" s="40" t="s">
        <v>193</v>
      </c>
      <c r="U31" s="40" t="s">
        <v>193</v>
      </c>
      <c r="V31" s="40" t="s">
        <v>194</v>
      </c>
      <c r="W31" s="40" t="s">
        <v>194</v>
      </c>
      <c r="X31" s="41">
        <v>46289.735422812497</v>
      </c>
      <c r="Y31" s="41">
        <v>46289.735422812497</v>
      </c>
    </row>
    <row r="32" spans="1:25" x14ac:dyDescent="0.2">
      <c r="A32" s="40" t="s">
        <v>261</v>
      </c>
      <c r="B32" s="40" t="s">
        <v>262</v>
      </c>
      <c r="C32" s="40" t="s">
        <v>256</v>
      </c>
      <c r="D32" s="40" t="s">
        <v>191</v>
      </c>
      <c r="E32">
        <v>497.58499145507812</v>
      </c>
      <c r="F32">
        <v>870529</v>
      </c>
      <c r="G32">
        <v>-10.33958325891815</v>
      </c>
      <c r="H32">
        <v>-1.7318996628345502</v>
      </c>
      <c r="I32">
        <v>104.00885653333333</v>
      </c>
      <c r="J32" s="40" t="s">
        <v>198</v>
      </c>
      <c r="K32" s="40" t="s">
        <v>199</v>
      </c>
      <c r="L32" s="40" t="s">
        <v>193</v>
      </c>
      <c r="M32" s="40" t="s">
        <v>194</v>
      </c>
      <c r="N32">
        <v>469.8</v>
      </c>
      <c r="O32">
        <v>519.77</v>
      </c>
      <c r="P32">
        <v>494.78499999999997</v>
      </c>
      <c r="Q32">
        <v>1009.9336075265009</v>
      </c>
      <c r="R32">
        <v>5938.210298</v>
      </c>
      <c r="S32" s="40" t="s">
        <v>199</v>
      </c>
      <c r="T32" s="40" t="s">
        <v>193</v>
      </c>
      <c r="U32" s="40" t="s">
        <v>193</v>
      </c>
      <c r="V32" s="40" t="s">
        <v>194</v>
      </c>
      <c r="W32" s="40" t="s">
        <v>194</v>
      </c>
      <c r="X32" s="41">
        <v>46289.735422812497</v>
      </c>
      <c r="Y32" s="41">
        <v>46289.735422812497</v>
      </c>
    </row>
    <row r="33" spans="1:25" x14ac:dyDescent="0.2">
      <c r="A33" s="40" t="s">
        <v>263</v>
      </c>
      <c r="B33" s="40" t="s">
        <v>264</v>
      </c>
      <c r="C33" s="40" t="s">
        <v>256</v>
      </c>
      <c r="D33" s="40" t="s">
        <v>191</v>
      </c>
      <c r="E33">
        <v>224.53999328613281</v>
      </c>
      <c r="F33">
        <v>4006771</v>
      </c>
      <c r="G33">
        <v>-10.677350941696861</v>
      </c>
      <c r="H33">
        <v>-0.82011526922403688</v>
      </c>
      <c r="I33">
        <v>104.00885653333333</v>
      </c>
      <c r="J33" s="40" t="s">
        <v>198</v>
      </c>
      <c r="K33" s="40" t="s">
        <v>199</v>
      </c>
      <c r="L33" s="40" t="s">
        <v>193</v>
      </c>
      <c r="M33" s="40" t="s">
        <v>194</v>
      </c>
      <c r="N33">
        <v>210.95</v>
      </c>
      <c r="O33">
        <v>0</v>
      </c>
      <c r="R33">
        <v>5935.7585529999997</v>
      </c>
      <c r="S33" s="40" t="s">
        <v>199</v>
      </c>
      <c r="T33" s="40" t="s">
        <v>453</v>
      </c>
      <c r="U33" s="40" t="s">
        <v>453</v>
      </c>
      <c r="V33" s="40" t="s">
        <v>142</v>
      </c>
      <c r="W33" s="40" t="s">
        <v>142</v>
      </c>
      <c r="X33" s="41">
        <v>46289.735422812497</v>
      </c>
      <c r="Y33" s="41">
        <v>46289.735422812497</v>
      </c>
    </row>
  </sheetData>
  <phoneticPr fontId="5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E9C8-A088-AC4A-A8C1-8C334F006D94}">
  <dimension ref="A1:U17"/>
  <sheetViews>
    <sheetView topLeftCell="E1" workbookViewId="0"/>
  </sheetViews>
  <sheetFormatPr baseColWidth="10" defaultRowHeight="16" x14ac:dyDescent="0.2"/>
  <cols>
    <col min="1" max="1" width="9.6640625" bestFit="1" customWidth="1"/>
    <col min="2" max="2" width="16" bestFit="1" customWidth="1"/>
    <col min="4" max="4" width="9.83203125" bestFit="1" customWidth="1"/>
    <col min="5" max="6" width="9.1640625" bestFit="1" customWidth="1"/>
    <col min="7" max="8" width="11.1640625" bestFit="1" customWidth="1"/>
    <col min="9" max="9" width="10.1640625" bestFit="1" customWidth="1"/>
    <col min="10" max="10" width="9.33203125" bestFit="1" customWidth="1"/>
    <col min="11" max="11" width="13.1640625" bestFit="1" customWidth="1"/>
    <col min="12" max="12" width="20.1640625" bestFit="1" customWidth="1"/>
    <col min="13" max="13" width="23" bestFit="1" customWidth="1"/>
    <col min="14" max="14" width="14.33203125" bestFit="1" customWidth="1"/>
    <col min="15" max="15" width="15.33203125" bestFit="1" customWidth="1"/>
    <col min="16" max="16" width="14.33203125" bestFit="1" customWidth="1"/>
    <col min="17" max="17" width="13.83203125" bestFit="1" customWidth="1"/>
    <col min="18" max="18" width="15.33203125" bestFit="1" customWidth="1"/>
    <col min="19" max="19" width="22" bestFit="1" customWidth="1"/>
    <col min="20" max="20" width="16.83203125" bestFit="1" customWidth="1"/>
    <col min="21" max="21" width="12.5" bestFit="1" customWidth="1"/>
  </cols>
  <sheetData>
    <row r="1" spans="1:21" x14ac:dyDescent="0.2">
      <c r="A1" t="s">
        <v>164</v>
      </c>
      <c r="B1" t="s">
        <v>165</v>
      </c>
      <c r="C1" t="s">
        <v>166</v>
      </c>
      <c r="D1" t="s">
        <v>167</v>
      </c>
      <c r="E1" t="s">
        <v>177</v>
      </c>
      <c r="F1" t="s">
        <v>178</v>
      </c>
      <c r="G1" t="s">
        <v>265</v>
      </c>
      <c r="H1" t="s">
        <v>266</v>
      </c>
      <c r="I1" t="s">
        <v>179</v>
      </c>
      <c r="J1" t="s">
        <v>267</v>
      </c>
      <c r="K1" t="s">
        <v>180</v>
      </c>
      <c r="L1" t="s">
        <v>181</v>
      </c>
      <c r="M1" t="s">
        <v>173</v>
      </c>
      <c r="N1" t="s">
        <v>268</v>
      </c>
      <c r="O1" t="s">
        <v>269</v>
      </c>
      <c r="P1" t="s">
        <v>183</v>
      </c>
      <c r="Q1" t="s">
        <v>184</v>
      </c>
      <c r="R1" t="s">
        <v>270</v>
      </c>
      <c r="S1" t="s">
        <v>271</v>
      </c>
      <c r="T1" t="s">
        <v>272</v>
      </c>
      <c r="U1" t="s">
        <v>273</v>
      </c>
    </row>
    <row r="2" spans="1:21" x14ac:dyDescent="0.2">
      <c r="A2" s="40" t="s">
        <v>210</v>
      </c>
      <c r="B2" s="40" t="s">
        <v>10</v>
      </c>
      <c r="C2" s="40" t="s">
        <v>211</v>
      </c>
      <c r="D2" s="40" t="s">
        <v>206</v>
      </c>
      <c r="E2">
        <v>84411.36</v>
      </c>
      <c r="F2">
        <v>84431.97</v>
      </c>
      <c r="G2">
        <v>1.0020300000000001E-3</v>
      </c>
      <c r="H2">
        <v>1.00475E-3</v>
      </c>
      <c r="I2">
        <v>84421.665000000008</v>
      </c>
      <c r="J2">
        <v>20.610000000000582</v>
      </c>
      <c r="K2">
        <v>2.4413164559121854</v>
      </c>
      <c r="L2">
        <v>22.672384999999998</v>
      </c>
      <c r="M2" s="40" t="s">
        <v>192</v>
      </c>
      <c r="N2" s="40" t="s">
        <v>193</v>
      </c>
      <c r="O2" s="40" t="s">
        <v>193</v>
      </c>
      <c r="P2" s="40" t="s">
        <v>193</v>
      </c>
      <c r="Q2" s="40" t="s">
        <v>193</v>
      </c>
      <c r="R2" s="40" t="s">
        <v>194</v>
      </c>
      <c r="S2" s="41">
        <v>46289.735160405093</v>
      </c>
      <c r="T2" s="41">
        <v>46289.735422812497</v>
      </c>
      <c r="U2" s="40" t="s">
        <v>274</v>
      </c>
    </row>
    <row r="3" spans="1:21" x14ac:dyDescent="0.2">
      <c r="A3" s="40" t="s">
        <v>254</v>
      </c>
      <c r="B3" s="40" t="s">
        <v>255</v>
      </c>
      <c r="C3" s="40" t="s">
        <v>256</v>
      </c>
      <c r="D3" s="40" t="s">
        <v>191</v>
      </c>
      <c r="E3">
        <v>333.21</v>
      </c>
      <c r="F3">
        <v>0</v>
      </c>
      <c r="G3">
        <v>120</v>
      </c>
      <c r="H3">
        <v>0</v>
      </c>
      <c r="L3">
        <v>5938.1795499999998</v>
      </c>
      <c r="M3" s="40" t="s">
        <v>198</v>
      </c>
      <c r="N3" s="40" t="s">
        <v>428</v>
      </c>
      <c r="O3" s="40" t="s">
        <v>199</v>
      </c>
      <c r="P3" s="40" t="s">
        <v>453</v>
      </c>
      <c r="Q3" s="40" t="s">
        <v>453</v>
      </c>
      <c r="R3" s="40" t="s">
        <v>142</v>
      </c>
      <c r="S3" s="41">
        <v>46289.666693877312</v>
      </c>
      <c r="T3" s="41">
        <v>46289.735422812497</v>
      </c>
      <c r="U3" s="40" t="s">
        <v>275</v>
      </c>
    </row>
    <row r="4" spans="1:21" x14ac:dyDescent="0.2">
      <c r="A4" s="40" t="s">
        <v>257</v>
      </c>
      <c r="B4" s="40" t="s">
        <v>258</v>
      </c>
      <c r="C4" s="40" t="s">
        <v>256</v>
      </c>
      <c r="D4" s="40" t="s">
        <v>191</v>
      </c>
      <c r="E4">
        <v>319.24</v>
      </c>
      <c r="F4">
        <v>359.94</v>
      </c>
      <c r="G4">
        <v>40</v>
      </c>
      <c r="H4">
        <v>40</v>
      </c>
      <c r="I4">
        <v>339.59000000000003</v>
      </c>
      <c r="J4">
        <v>40.699999999999989</v>
      </c>
      <c r="K4">
        <v>1198.5040784475393</v>
      </c>
      <c r="L4">
        <v>5940.5188509999998</v>
      </c>
      <c r="M4" s="40" t="s">
        <v>198</v>
      </c>
      <c r="N4" s="40" t="s">
        <v>193</v>
      </c>
      <c r="O4" s="40" t="s">
        <v>199</v>
      </c>
      <c r="P4" s="40" t="s">
        <v>193</v>
      </c>
      <c r="Q4" s="40" t="s">
        <v>193</v>
      </c>
      <c r="R4" s="40" t="s">
        <v>194</v>
      </c>
      <c r="S4" s="41">
        <v>46289.666666805555</v>
      </c>
      <c r="T4" s="41">
        <v>46289.735422812497</v>
      </c>
      <c r="U4" s="40" t="s">
        <v>275</v>
      </c>
    </row>
    <row r="5" spans="1:21" x14ac:dyDescent="0.2">
      <c r="A5" s="40" t="s">
        <v>259</v>
      </c>
      <c r="B5" s="40" t="s">
        <v>260</v>
      </c>
      <c r="C5" s="40" t="s">
        <v>256</v>
      </c>
      <c r="D5" s="40" t="s">
        <v>191</v>
      </c>
      <c r="E5">
        <v>737.44</v>
      </c>
      <c r="F5">
        <v>812.99</v>
      </c>
      <c r="G5">
        <v>40</v>
      </c>
      <c r="H5">
        <v>40</v>
      </c>
      <c r="I5">
        <v>775.21500000000003</v>
      </c>
      <c r="J5">
        <v>75.549999999999955</v>
      </c>
      <c r="K5">
        <v>974.56834555574846</v>
      </c>
      <c r="L5">
        <v>5940.5291690000004</v>
      </c>
      <c r="M5" s="40" t="s">
        <v>198</v>
      </c>
      <c r="N5" s="40" t="s">
        <v>193</v>
      </c>
      <c r="O5" s="40" t="s">
        <v>199</v>
      </c>
      <c r="P5" s="40" t="s">
        <v>193</v>
      </c>
      <c r="Q5" s="40" t="s">
        <v>193</v>
      </c>
      <c r="R5" s="40" t="s">
        <v>194</v>
      </c>
      <c r="S5" s="41">
        <v>46289.666666689816</v>
      </c>
      <c r="T5" s="41">
        <v>46289.735422812497</v>
      </c>
      <c r="U5" s="40" t="s">
        <v>275</v>
      </c>
    </row>
    <row r="6" spans="1:21" x14ac:dyDescent="0.2">
      <c r="A6" s="40" t="s">
        <v>261</v>
      </c>
      <c r="B6" s="40" t="s">
        <v>262</v>
      </c>
      <c r="C6" s="40" t="s">
        <v>256</v>
      </c>
      <c r="D6" s="40" t="s">
        <v>191</v>
      </c>
      <c r="E6">
        <v>469.8</v>
      </c>
      <c r="F6">
        <v>519.77</v>
      </c>
      <c r="G6">
        <v>40</v>
      </c>
      <c r="H6">
        <v>40</v>
      </c>
      <c r="I6">
        <v>494.78499999999997</v>
      </c>
      <c r="J6">
        <v>49.96999999999997</v>
      </c>
      <c r="K6">
        <v>1009.9336075265009</v>
      </c>
      <c r="L6">
        <v>5938.210298</v>
      </c>
      <c r="M6" s="40" t="s">
        <v>198</v>
      </c>
      <c r="N6" s="40" t="s">
        <v>193</v>
      </c>
      <c r="O6" s="40" t="s">
        <v>199</v>
      </c>
      <c r="P6" s="40" t="s">
        <v>193</v>
      </c>
      <c r="Q6" s="40" t="s">
        <v>193</v>
      </c>
      <c r="R6" s="40" t="s">
        <v>194</v>
      </c>
      <c r="S6" s="41">
        <v>46289.666693530089</v>
      </c>
      <c r="T6" s="41">
        <v>46289.735422812497</v>
      </c>
      <c r="U6" s="40" t="s">
        <v>275</v>
      </c>
    </row>
    <row r="7" spans="1:21" x14ac:dyDescent="0.2">
      <c r="A7" s="40" t="s">
        <v>263</v>
      </c>
      <c r="B7" s="40" t="s">
        <v>264</v>
      </c>
      <c r="C7" s="40" t="s">
        <v>256</v>
      </c>
      <c r="D7" s="40" t="s">
        <v>191</v>
      </c>
      <c r="E7">
        <v>210.95</v>
      </c>
      <c r="F7">
        <v>0</v>
      </c>
      <c r="G7">
        <v>100</v>
      </c>
      <c r="H7">
        <v>0</v>
      </c>
      <c r="L7">
        <v>5935.7585529999997</v>
      </c>
      <c r="M7" s="40" t="s">
        <v>198</v>
      </c>
      <c r="N7" s="40" t="s">
        <v>428</v>
      </c>
      <c r="O7" s="40" t="s">
        <v>199</v>
      </c>
      <c r="P7" s="40" t="s">
        <v>453</v>
      </c>
      <c r="Q7" s="40" t="s">
        <v>453</v>
      </c>
      <c r="R7" s="40" t="s">
        <v>142</v>
      </c>
      <c r="S7" s="41">
        <v>46289.666721898146</v>
      </c>
      <c r="T7" s="41">
        <v>46289.735422812497</v>
      </c>
      <c r="U7" s="40" t="s">
        <v>275</v>
      </c>
    </row>
    <row r="8" spans="1:21" x14ac:dyDescent="0.2">
      <c r="A8" s="40" t="s">
        <v>233</v>
      </c>
      <c r="B8" s="40" t="s">
        <v>234</v>
      </c>
      <c r="C8" s="40" t="s">
        <v>235</v>
      </c>
      <c r="D8" s="40" t="s">
        <v>191</v>
      </c>
      <c r="E8">
        <v>53.2</v>
      </c>
      <c r="F8">
        <v>59.22</v>
      </c>
      <c r="G8">
        <v>100</v>
      </c>
      <c r="H8">
        <v>100</v>
      </c>
      <c r="I8">
        <v>56.21</v>
      </c>
      <c r="J8">
        <v>6.019999999999996</v>
      </c>
      <c r="K8">
        <v>1070.9838107098374</v>
      </c>
      <c r="L8">
        <v>5939.9956380000003</v>
      </c>
      <c r="M8" s="40" t="s">
        <v>198</v>
      </c>
      <c r="N8" s="40" t="s">
        <v>193</v>
      </c>
      <c r="O8" s="40" t="s">
        <v>199</v>
      </c>
      <c r="P8" s="40" t="s">
        <v>193</v>
      </c>
      <c r="Q8" s="40" t="s">
        <v>193</v>
      </c>
      <c r="R8" s="40" t="s">
        <v>194</v>
      </c>
      <c r="S8" s="41">
        <v>46289.666672858795</v>
      </c>
      <c r="T8" s="41">
        <v>46289.735422812497</v>
      </c>
      <c r="U8" s="40" t="s">
        <v>275</v>
      </c>
    </row>
    <row r="9" spans="1:21" x14ac:dyDescent="0.2">
      <c r="A9" s="40" t="s">
        <v>236</v>
      </c>
      <c r="B9" s="40" t="s">
        <v>237</v>
      </c>
      <c r="C9" s="40" t="s">
        <v>235</v>
      </c>
      <c r="D9" s="40" t="s">
        <v>191</v>
      </c>
      <c r="E9">
        <v>756.67</v>
      </c>
      <c r="F9">
        <v>0</v>
      </c>
      <c r="G9">
        <v>40</v>
      </c>
      <c r="H9">
        <v>0</v>
      </c>
      <c r="L9">
        <v>5937.5962170000003</v>
      </c>
      <c r="M9" s="40" t="s">
        <v>198</v>
      </c>
      <c r="N9" s="40" t="s">
        <v>428</v>
      </c>
      <c r="O9" s="40" t="s">
        <v>199</v>
      </c>
      <c r="P9" s="40" t="s">
        <v>453</v>
      </c>
      <c r="Q9" s="40" t="s">
        <v>453</v>
      </c>
      <c r="R9" s="40" t="s">
        <v>142</v>
      </c>
      <c r="S9" s="41">
        <v>46289.666700636575</v>
      </c>
      <c r="T9" s="41">
        <v>46289.735422812497</v>
      </c>
      <c r="U9" s="40" t="s">
        <v>275</v>
      </c>
    </row>
    <row r="10" spans="1:21" x14ac:dyDescent="0.2">
      <c r="A10" s="40" t="s">
        <v>238</v>
      </c>
      <c r="B10" s="40" t="s">
        <v>239</v>
      </c>
      <c r="C10" s="40" t="s">
        <v>235</v>
      </c>
      <c r="D10" s="40" t="s">
        <v>191</v>
      </c>
      <c r="E10">
        <v>862.88</v>
      </c>
      <c r="F10">
        <v>955.5</v>
      </c>
      <c r="G10">
        <v>40</v>
      </c>
      <c r="H10">
        <v>40</v>
      </c>
      <c r="I10">
        <v>909.19</v>
      </c>
      <c r="J10">
        <v>92.62</v>
      </c>
      <c r="K10">
        <v>1018.7089607232812</v>
      </c>
      <c r="L10">
        <v>5940.5273820000002</v>
      </c>
      <c r="M10" s="40" t="s">
        <v>198</v>
      </c>
      <c r="N10" s="40" t="s">
        <v>193</v>
      </c>
      <c r="O10" s="40" t="s">
        <v>199</v>
      </c>
      <c r="P10" s="40" t="s">
        <v>193</v>
      </c>
      <c r="Q10" s="40" t="s">
        <v>193</v>
      </c>
      <c r="R10" s="40" t="s">
        <v>194</v>
      </c>
      <c r="S10" s="41">
        <v>46289.666666712961</v>
      </c>
      <c r="T10" s="41">
        <v>46289.735422812497</v>
      </c>
      <c r="U10" s="40" t="s">
        <v>275</v>
      </c>
    </row>
    <row r="11" spans="1:21" x14ac:dyDescent="0.2">
      <c r="A11" s="40" t="s">
        <v>240</v>
      </c>
      <c r="B11" s="40" t="s">
        <v>241</v>
      </c>
      <c r="C11" s="40" t="s">
        <v>235</v>
      </c>
      <c r="D11" s="40" t="s">
        <v>191</v>
      </c>
      <c r="E11">
        <v>196.69</v>
      </c>
      <c r="F11">
        <v>217.81</v>
      </c>
      <c r="G11">
        <v>100</v>
      </c>
      <c r="H11">
        <v>100</v>
      </c>
      <c r="I11">
        <v>207.25</v>
      </c>
      <c r="J11">
        <v>21.120000000000005</v>
      </c>
      <c r="K11">
        <v>1019.0591073582632</v>
      </c>
      <c r="L11">
        <v>5940.5287580000004</v>
      </c>
      <c r="M11" s="40" t="s">
        <v>198</v>
      </c>
      <c r="N11" s="40" t="s">
        <v>193</v>
      </c>
      <c r="O11" s="40" t="s">
        <v>199</v>
      </c>
      <c r="P11" s="40" t="s">
        <v>193</v>
      </c>
      <c r="Q11" s="40" t="s">
        <v>193</v>
      </c>
      <c r="R11" s="40" t="s">
        <v>194</v>
      </c>
      <c r="S11" s="41">
        <v>46289.666666689816</v>
      </c>
      <c r="T11" s="41">
        <v>46289.735422812497</v>
      </c>
      <c r="U11" s="40" t="s">
        <v>275</v>
      </c>
    </row>
    <row r="12" spans="1:21" x14ac:dyDescent="0.2">
      <c r="A12" s="40" t="s">
        <v>242</v>
      </c>
      <c r="B12" s="40" t="s">
        <v>243</v>
      </c>
      <c r="C12" s="40" t="s">
        <v>235</v>
      </c>
      <c r="D12" s="40" t="s">
        <v>191</v>
      </c>
      <c r="E12">
        <v>301.14999999999998</v>
      </c>
      <c r="F12">
        <v>333.9</v>
      </c>
      <c r="G12">
        <v>40</v>
      </c>
      <c r="H12">
        <v>40</v>
      </c>
      <c r="I12">
        <v>317.52499999999998</v>
      </c>
      <c r="J12">
        <v>32.75</v>
      </c>
      <c r="K12">
        <v>1031.4148492244706</v>
      </c>
      <c r="L12">
        <v>5940.52927</v>
      </c>
      <c r="M12" s="40" t="s">
        <v>198</v>
      </c>
      <c r="N12" s="40" t="s">
        <v>193</v>
      </c>
      <c r="O12" s="40" t="s">
        <v>199</v>
      </c>
      <c r="P12" s="40" t="s">
        <v>193</v>
      </c>
      <c r="Q12" s="40" t="s">
        <v>193</v>
      </c>
      <c r="R12" s="40" t="s">
        <v>194</v>
      </c>
      <c r="S12" s="41">
        <v>46289.666666689816</v>
      </c>
      <c r="T12" s="41">
        <v>46289.735422812497</v>
      </c>
      <c r="U12" s="40" t="s">
        <v>275</v>
      </c>
    </row>
    <row r="13" spans="1:21" x14ac:dyDescent="0.2">
      <c r="A13" s="40" t="s">
        <v>244</v>
      </c>
      <c r="B13" s="40" t="s">
        <v>245</v>
      </c>
      <c r="C13" s="40" t="s">
        <v>235</v>
      </c>
      <c r="D13" s="40" t="s">
        <v>191</v>
      </c>
      <c r="E13">
        <v>260.49</v>
      </c>
      <c r="F13">
        <v>0</v>
      </c>
      <c r="G13">
        <v>100</v>
      </c>
      <c r="H13">
        <v>0</v>
      </c>
      <c r="L13">
        <v>5938.4182680000004</v>
      </c>
      <c r="M13" s="40" t="s">
        <v>198</v>
      </c>
      <c r="N13" s="40" t="s">
        <v>428</v>
      </c>
      <c r="O13" s="40" t="s">
        <v>199</v>
      </c>
      <c r="P13" s="40" t="s">
        <v>453</v>
      </c>
      <c r="Q13" s="40" t="s">
        <v>453</v>
      </c>
      <c r="R13" s="40" t="s">
        <v>142</v>
      </c>
      <c r="S13" s="41">
        <v>46289.666691122686</v>
      </c>
      <c r="T13" s="41">
        <v>46289.735422812497</v>
      </c>
      <c r="U13" s="40" t="s">
        <v>275</v>
      </c>
    </row>
    <row r="14" spans="1:21" x14ac:dyDescent="0.2">
      <c r="A14" s="40" t="s">
        <v>246</v>
      </c>
      <c r="B14" s="40" t="s">
        <v>247</v>
      </c>
      <c r="C14" s="40" t="s">
        <v>235</v>
      </c>
      <c r="D14" s="40" t="s">
        <v>191</v>
      </c>
      <c r="E14">
        <v>320.41000000000003</v>
      </c>
      <c r="F14">
        <v>354.9</v>
      </c>
      <c r="G14">
        <v>40</v>
      </c>
      <c r="H14">
        <v>40</v>
      </c>
      <c r="I14">
        <v>337.65499999999997</v>
      </c>
      <c r="J14">
        <v>34.489999999999952</v>
      </c>
      <c r="K14">
        <v>1021.4568124268841</v>
      </c>
      <c r="L14">
        <v>5940.5286850000002</v>
      </c>
      <c r="M14" s="40" t="s">
        <v>198</v>
      </c>
      <c r="N14" s="40" t="s">
        <v>193</v>
      </c>
      <c r="O14" s="40" t="s">
        <v>199</v>
      </c>
      <c r="P14" s="40" t="s">
        <v>193</v>
      </c>
      <c r="Q14" s="40" t="s">
        <v>193</v>
      </c>
      <c r="R14" s="40" t="s">
        <v>194</v>
      </c>
      <c r="S14" s="41">
        <v>46289.666666689816</v>
      </c>
      <c r="T14" s="41">
        <v>46289.735422812497</v>
      </c>
      <c r="U14" s="40" t="s">
        <v>275</v>
      </c>
    </row>
    <row r="15" spans="1:21" x14ac:dyDescent="0.2">
      <c r="A15" s="40" t="s">
        <v>248</v>
      </c>
      <c r="B15" s="40" t="s">
        <v>249</v>
      </c>
      <c r="C15" s="40" t="s">
        <v>235</v>
      </c>
      <c r="D15" s="40" t="s">
        <v>191</v>
      </c>
      <c r="E15">
        <v>1120.04</v>
      </c>
      <c r="F15">
        <v>1242.08</v>
      </c>
      <c r="G15">
        <v>40</v>
      </c>
      <c r="H15">
        <v>40</v>
      </c>
      <c r="I15">
        <v>1181.06</v>
      </c>
      <c r="J15">
        <v>122.03999999999996</v>
      </c>
      <c r="K15">
        <v>1033.3090613516667</v>
      </c>
      <c r="L15">
        <v>5937.9328770000002</v>
      </c>
      <c r="M15" s="40" t="s">
        <v>198</v>
      </c>
      <c r="N15" s="40" t="s">
        <v>193</v>
      </c>
      <c r="O15" s="40" t="s">
        <v>199</v>
      </c>
      <c r="P15" s="40" t="s">
        <v>193</v>
      </c>
      <c r="Q15" s="40" t="s">
        <v>193</v>
      </c>
      <c r="R15" s="40" t="s">
        <v>194</v>
      </c>
      <c r="S15" s="41">
        <v>46289.666696736109</v>
      </c>
      <c r="T15" s="41">
        <v>46289.735422812497</v>
      </c>
      <c r="U15" s="40" t="s">
        <v>275</v>
      </c>
    </row>
    <row r="16" spans="1:21" x14ac:dyDescent="0.2">
      <c r="A16" s="40" t="s">
        <v>250</v>
      </c>
      <c r="B16" s="40" t="s">
        <v>251</v>
      </c>
      <c r="C16" s="40" t="s">
        <v>235</v>
      </c>
      <c r="D16" s="40" t="s">
        <v>191</v>
      </c>
      <c r="E16">
        <v>102.89</v>
      </c>
      <c r="F16">
        <v>0</v>
      </c>
      <c r="G16">
        <v>100</v>
      </c>
      <c r="H16">
        <v>0</v>
      </c>
      <c r="L16">
        <v>5938.6265670000003</v>
      </c>
      <c r="M16" s="40" t="s">
        <v>198</v>
      </c>
      <c r="N16" s="40" t="s">
        <v>428</v>
      </c>
      <c r="O16" s="40" t="s">
        <v>199</v>
      </c>
      <c r="P16" s="40" t="s">
        <v>453</v>
      </c>
      <c r="Q16" s="40" t="s">
        <v>453</v>
      </c>
      <c r="R16" s="40" t="s">
        <v>142</v>
      </c>
      <c r="S16" s="41">
        <v>46289.666688703706</v>
      </c>
      <c r="T16" s="41">
        <v>46289.735422812497</v>
      </c>
      <c r="U16" s="40" t="s">
        <v>275</v>
      </c>
    </row>
    <row r="17" spans="1:21" x14ac:dyDescent="0.2">
      <c r="A17" s="40" t="s">
        <v>252</v>
      </c>
      <c r="B17" s="40" t="s">
        <v>253</v>
      </c>
      <c r="C17" s="40" t="s">
        <v>235</v>
      </c>
      <c r="D17" s="40" t="s">
        <v>191</v>
      </c>
      <c r="E17">
        <v>154.57</v>
      </c>
      <c r="F17">
        <v>0</v>
      </c>
      <c r="G17">
        <v>100</v>
      </c>
      <c r="H17">
        <v>0</v>
      </c>
      <c r="L17">
        <v>5938.7022459999998</v>
      </c>
      <c r="M17" s="40" t="s">
        <v>198</v>
      </c>
      <c r="N17" s="40" t="s">
        <v>428</v>
      </c>
      <c r="O17" s="40" t="s">
        <v>199</v>
      </c>
      <c r="P17" s="40" t="s">
        <v>453</v>
      </c>
      <c r="Q17" s="40" t="s">
        <v>453</v>
      </c>
      <c r="R17" s="40" t="s">
        <v>142</v>
      </c>
      <c r="S17" s="41">
        <v>46289.666687835648</v>
      </c>
      <c r="T17" s="41">
        <v>46289.735422812497</v>
      </c>
      <c r="U17" s="40" t="s">
        <v>275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AAA5-C1CA-5148-828E-84BA79A3B815}">
  <dimension ref="A1:L7"/>
  <sheetViews>
    <sheetView workbookViewId="0">
      <selection activeCell="B35" sqref="B35"/>
    </sheetView>
  </sheetViews>
  <sheetFormatPr baseColWidth="10" defaultRowHeight="16" x14ac:dyDescent="0.2"/>
  <cols>
    <col min="1" max="1" width="9.83203125" bestFit="1" customWidth="1"/>
    <col min="2" max="2" width="31.33203125" bestFit="1" customWidth="1"/>
    <col min="3" max="3" width="16" bestFit="1" customWidth="1"/>
    <col min="4" max="4" width="13.83203125" bestFit="1" customWidth="1"/>
    <col min="5" max="5" width="17.5" bestFit="1" customWidth="1"/>
    <col min="6" max="6" width="16.33203125" bestFit="1" customWidth="1"/>
    <col min="7" max="7" width="8.1640625" bestFit="1" customWidth="1"/>
    <col min="8" max="8" width="13.5" bestFit="1" customWidth="1"/>
    <col min="9" max="9" width="21.6640625" bestFit="1" customWidth="1"/>
    <col min="10" max="10" width="11.83203125" bestFit="1" customWidth="1"/>
    <col min="11" max="11" width="11.1640625" bestFit="1" customWidth="1"/>
    <col min="12" max="12" width="16.83203125" bestFit="1" customWidth="1"/>
  </cols>
  <sheetData>
    <row r="1" spans="1:12" x14ac:dyDescent="0.2">
      <c r="A1" t="s">
        <v>167</v>
      </c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  <c r="K1" t="s">
        <v>273</v>
      </c>
      <c r="L1" t="s">
        <v>272</v>
      </c>
    </row>
    <row r="2" spans="1:12" x14ac:dyDescent="0.2">
      <c r="A2" s="40" t="s">
        <v>191</v>
      </c>
      <c r="B2" s="40" t="s">
        <v>11</v>
      </c>
      <c r="C2" s="40" t="s">
        <v>361</v>
      </c>
      <c r="D2" s="40" t="s">
        <v>362</v>
      </c>
      <c r="E2">
        <v>3.88</v>
      </c>
      <c r="F2" s="40" t="s">
        <v>363</v>
      </c>
      <c r="G2">
        <v>3.88</v>
      </c>
      <c r="I2" s="40" t="s">
        <v>363</v>
      </c>
      <c r="J2" s="40" t="s">
        <v>364</v>
      </c>
      <c r="K2" s="40" t="s">
        <v>365</v>
      </c>
      <c r="L2" s="41">
        <v>46288.741874733794</v>
      </c>
    </row>
    <row r="3" spans="1:12" x14ac:dyDescent="0.2">
      <c r="A3" s="40" t="s">
        <v>191</v>
      </c>
      <c r="B3" s="40" t="s">
        <v>12</v>
      </c>
      <c r="C3" s="40" t="s">
        <v>366</v>
      </c>
      <c r="D3" s="40" t="s">
        <v>362</v>
      </c>
      <c r="E3">
        <v>4.96</v>
      </c>
      <c r="F3" s="40" t="s">
        <v>363</v>
      </c>
      <c r="G3">
        <v>4.96</v>
      </c>
      <c r="I3" s="40" t="s">
        <v>363</v>
      </c>
      <c r="J3" s="40" t="s">
        <v>364</v>
      </c>
      <c r="K3" s="40" t="s">
        <v>365</v>
      </c>
      <c r="L3" s="41">
        <v>46288.741874733794</v>
      </c>
    </row>
    <row r="4" spans="1:12" x14ac:dyDescent="0.2">
      <c r="A4" s="40" t="s">
        <v>191</v>
      </c>
      <c r="B4" s="40" t="s">
        <v>367</v>
      </c>
      <c r="C4" s="40" t="s">
        <v>368</v>
      </c>
      <c r="D4" s="40" t="s">
        <v>369</v>
      </c>
      <c r="E4">
        <v>3.7129581058388483</v>
      </c>
      <c r="F4" s="40" t="s">
        <v>370</v>
      </c>
      <c r="G4">
        <v>334.13099999999997</v>
      </c>
      <c r="H4">
        <v>3.7129581058388483</v>
      </c>
      <c r="I4" s="40" t="s">
        <v>190</v>
      </c>
      <c r="J4" s="40" t="s">
        <v>371</v>
      </c>
      <c r="K4" s="40" t="s">
        <v>365</v>
      </c>
      <c r="L4" s="41">
        <v>46288.741874733794</v>
      </c>
    </row>
    <row r="5" spans="1:12" x14ac:dyDescent="0.2">
      <c r="A5" s="40" t="s">
        <v>130</v>
      </c>
      <c r="B5" s="40" t="s">
        <v>14</v>
      </c>
      <c r="C5" s="40" t="s">
        <v>372</v>
      </c>
      <c r="D5" s="40" t="s">
        <v>369</v>
      </c>
      <c r="E5">
        <v>2.94</v>
      </c>
      <c r="F5" s="40" t="s">
        <v>363</v>
      </c>
      <c r="G5">
        <v>2.94</v>
      </c>
      <c r="I5" s="40" t="s">
        <v>363</v>
      </c>
      <c r="J5" s="40" t="s">
        <v>371</v>
      </c>
      <c r="K5" s="40" t="s">
        <v>365</v>
      </c>
      <c r="L5" s="41">
        <v>46288.741874733794</v>
      </c>
    </row>
    <row r="6" spans="1:12" x14ac:dyDescent="0.2">
      <c r="A6" s="40" t="s">
        <v>130</v>
      </c>
      <c r="B6" s="40" t="s">
        <v>16</v>
      </c>
      <c r="C6" s="40" t="s">
        <v>373</v>
      </c>
      <c r="D6" s="40" t="s">
        <v>374</v>
      </c>
      <c r="E6">
        <v>102.1</v>
      </c>
      <c r="F6" s="40" t="s">
        <v>370</v>
      </c>
      <c r="G6">
        <v>102.1</v>
      </c>
      <c r="H6">
        <v>102.1</v>
      </c>
      <c r="I6" s="40" t="s">
        <v>375</v>
      </c>
      <c r="J6" s="40" t="s">
        <v>371</v>
      </c>
      <c r="K6" s="40" t="s">
        <v>376</v>
      </c>
      <c r="L6" s="41">
        <v>46288.754115636577</v>
      </c>
    </row>
    <row r="7" spans="1:12" x14ac:dyDescent="0.2">
      <c r="A7" s="40" t="s">
        <v>130</v>
      </c>
      <c r="B7" s="40" t="s">
        <v>377</v>
      </c>
      <c r="C7" s="40" t="s">
        <v>378</v>
      </c>
      <c r="D7" s="40" t="s">
        <v>369</v>
      </c>
      <c r="E7">
        <v>0.97699999999999998</v>
      </c>
      <c r="F7" s="40" t="s">
        <v>363</v>
      </c>
      <c r="G7">
        <v>0.97699999999999998</v>
      </c>
      <c r="I7" s="40" t="s">
        <v>363</v>
      </c>
      <c r="J7" s="40" t="s">
        <v>371</v>
      </c>
      <c r="K7" s="40" t="s">
        <v>365</v>
      </c>
      <c r="L7" s="41">
        <v>46288.741874733794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CF20-89DA-D04F-8F81-7C37EC3F414C}">
  <dimension ref="A1:O18"/>
  <sheetViews>
    <sheetView workbookViewId="0"/>
  </sheetViews>
  <sheetFormatPr baseColWidth="10" defaultRowHeight="16" x14ac:dyDescent="0.2"/>
  <cols>
    <col min="1" max="1" width="9.83203125" bestFit="1" customWidth="1"/>
    <col min="2" max="2" width="10.1640625" bestFit="1" customWidth="1"/>
    <col min="3" max="3" width="9.6640625" bestFit="1" customWidth="1"/>
    <col min="4" max="4" width="18.33203125" bestFit="1" customWidth="1"/>
    <col min="5" max="5" width="13" bestFit="1" customWidth="1"/>
    <col min="6" max="6" width="18.5" bestFit="1" customWidth="1"/>
    <col min="7" max="7" width="15.5" bestFit="1" customWidth="1"/>
    <col min="8" max="8" width="15.33203125" bestFit="1" customWidth="1"/>
    <col min="9" max="9" width="16.6640625" bestFit="1" customWidth="1"/>
    <col min="10" max="10" width="16.33203125" bestFit="1" customWidth="1"/>
    <col min="11" max="11" width="16.6640625" bestFit="1" customWidth="1"/>
    <col min="12" max="12" width="59.33203125" bestFit="1" customWidth="1"/>
    <col min="13" max="13" width="15" bestFit="1" customWidth="1"/>
    <col min="14" max="15" width="33.83203125" bestFit="1" customWidth="1"/>
  </cols>
  <sheetData>
    <row r="1" spans="1:15" x14ac:dyDescent="0.2">
      <c r="A1" t="s">
        <v>276</v>
      </c>
      <c r="B1" t="s">
        <v>277</v>
      </c>
      <c r="C1" t="s">
        <v>164</v>
      </c>
      <c r="D1" t="s">
        <v>165</v>
      </c>
      <c r="E1" t="s">
        <v>278</v>
      </c>
      <c r="F1" t="s">
        <v>279</v>
      </c>
      <c r="G1" t="s">
        <v>280</v>
      </c>
      <c r="H1" t="s">
        <v>281</v>
      </c>
      <c r="I1" t="s">
        <v>282</v>
      </c>
      <c r="J1" t="s">
        <v>283</v>
      </c>
      <c r="K1" t="s">
        <v>284</v>
      </c>
      <c r="L1" t="s">
        <v>285</v>
      </c>
      <c r="M1" t="s">
        <v>286</v>
      </c>
      <c r="N1" t="s">
        <v>287</v>
      </c>
      <c r="O1" t="s">
        <v>288</v>
      </c>
    </row>
    <row r="2" spans="1:15" x14ac:dyDescent="0.2">
      <c r="A2" s="40" t="s">
        <v>289</v>
      </c>
      <c r="B2" s="40" t="s">
        <v>290</v>
      </c>
      <c r="C2" s="40" t="s">
        <v>207</v>
      </c>
      <c r="D2" s="40" t="s">
        <v>208</v>
      </c>
      <c r="E2" s="40" t="s">
        <v>203</v>
      </c>
      <c r="F2">
        <v>6</v>
      </c>
      <c r="G2" s="41">
        <v>46289.717732650461</v>
      </c>
      <c r="H2" s="41">
        <v>46289.735422812497</v>
      </c>
      <c r="I2" s="41"/>
      <c r="J2">
        <v>44.008856533333329</v>
      </c>
      <c r="K2">
        <v>15</v>
      </c>
      <c r="L2" s="40" t="s">
        <v>471</v>
      </c>
      <c r="M2" s="40" t="s">
        <v>291</v>
      </c>
      <c r="N2" s="40" t="s">
        <v>468</v>
      </c>
      <c r="O2" s="40" t="s">
        <v>472</v>
      </c>
    </row>
    <row r="3" spans="1:15" x14ac:dyDescent="0.2">
      <c r="A3" s="40" t="s">
        <v>299</v>
      </c>
      <c r="B3" s="40" t="s">
        <v>290</v>
      </c>
      <c r="C3" s="40" t="s">
        <v>200</v>
      </c>
      <c r="D3" s="40" t="s">
        <v>201</v>
      </c>
      <c r="E3" s="40" t="s">
        <v>203</v>
      </c>
      <c r="F3">
        <v>45</v>
      </c>
      <c r="G3" s="41">
        <v>46289.418100150462</v>
      </c>
      <c r="H3" s="41">
        <v>46289.609955983797</v>
      </c>
      <c r="I3" s="41">
        <v>46289.668897222225</v>
      </c>
      <c r="J3">
        <v>18.33662945</v>
      </c>
      <c r="K3">
        <v>15</v>
      </c>
      <c r="L3" s="40" t="s">
        <v>454</v>
      </c>
      <c r="M3" s="40" t="s">
        <v>291</v>
      </c>
      <c r="N3" s="40" t="s">
        <v>292</v>
      </c>
      <c r="O3" s="40" t="s">
        <v>452</v>
      </c>
    </row>
    <row r="4" spans="1:15" x14ac:dyDescent="0.2">
      <c r="A4" s="40" t="s">
        <v>299</v>
      </c>
      <c r="B4" s="40" t="s">
        <v>294</v>
      </c>
      <c r="C4" s="40" t="s">
        <v>240</v>
      </c>
      <c r="D4" s="40" t="s">
        <v>241</v>
      </c>
      <c r="E4" s="40" t="s">
        <v>295</v>
      </c>
      <c r="F4">
        <v>18</v>
      </c>
      <c r="G4" s="41">
        <v>46289.418100150462</v>
      </c>
      <c r="H4" s="41">
        <v>46289.609955983797</v>
      </c>
      <c r="I4" s="41">
        <v>46289.668897222225</v>
      </c>
      <c r="J4">
        <v>551.02137094871944</v>
      </c>
      <c r="K4">
        <v>100</v>
      </c>
      <c r="L4" s="40" t="s">
        <v>455</v>
      </c>
      <c r="M4" s="40" t="s">
        <v>296</v>
      </c>
      <c r="N4" s="40" t="s">
        <v>292</v>
      </c>
      <c r="O4" s="40" t="s">
        <v>452</v>
      </c>
    </row>
    <row r="5" spans="1:15" x14ac:dyDescent="0.2">
      <c r="A5" s="40" t="s">
        <v>299</v>
      </c>
      <c r="B5" s="40" t="s">
        <v>294</v>
      </c>
      <c r="C5" s="40" t="s">
        <v>248</v>
      </c>
      <c r="D5" s="40" t="s">
        <v>249</v>
      </c>
      <c r="E5" s="40" t="s">
        <v>295</v>
      </c>
      <c r="F5">
        <v>34</v>
      </c>
      <c r="G5" s="41">
        <v>46289.418100150462</v>
      </c>
      <c r="H5" s="41">
        <v>46289.609955983797</v>
      </c>
      <c r="I5" s="41">
        <v>46289.668897222225</v>
      </c>
      <c r="J5">
        <v>689.29846037137327</v>
      </c>
      <c r="K5">
        <v>100</v>
      </c>
      <c r="L5" s="40" t="s">
        <v>439</v>
      </c>
      <c r="M5" s="40" t="s">
        <v>296</v>
      </c>
      <c r="N5" s="40" t="s">
        <v>292</v>
      </c>
      <c r="O5" s="40" t="s">
        <v>452</v>
      </c>
    </row>
    <row r="6" spans="1:15" x14ac:dyDescent="0.2">
      <c r="A6" s="40" t="s">
        <v>299</v>
      </c>
      <c r="B6" s="40" t="s">
        <v>294</v>
      </c>
      <c r="C6" s="40" t="s">
        <v>242</v>
      </c>
      <c r="D6" s="40" t="s">
        <v>243</v>
      </c>
      <c r="E6" s="40" t="s">
        <v>295</v>
      </c>
      <c r="F6">
        <v>37</v>
      </c>
      <c r="G6" s="41">
        <v>46289.418266215274</v>
      </c>
      <c r="H6" s="41">
        <v>46289.609955983797</v>
      </c>
      <c r="I6" s="41">
        <v>46289.668897222225</v>
      </c>
      <c r="J6">
        <v>655.21117713184628</v>
      </c>
      <c r="K6">
        <v>100</v>
      </c>
      <c r="L6" s="40" t="s">
        <v>456</v>
      </c>
      <c r="M6" s="40" t="s">
        <v>296</v>
      </c>
      <c r="N6" s="40" t="s">
        <v>297</v>
      </c>
      <c r="O6" s="40" t="s">
        <v>452</v>
      </c>
    </row>
    <row r="7" spans="1:15" x14ac:dyDescent="0.2">
      <c r="A7" s="40" t="s">
        <v>299</v>
      </c>
      <c r="B7" s="40" t="s">
        <v>294</v>
      </c>
      <c r="C7" s="40" t="s">
        <v>236</v>
      </c>
      <c r="D7" s="40" t="s">
        <v>237</v>
      </c>
      <c r="E7" s="40" t="s">
        <v>295</v>
      </c>
      <c r="F7">
        <v>19</v>
      </c>
      <c r="G7" s="41">
        <v>46289.521967986111</v>
      </c>
      <c r="H7" s="41">
        <v>46289.609955983797</v>
      </c>
      <c r="I7" s="41">
        <v>46289.668897222225</v>
      </c>
      <c r="J7">
        <v>360.56188508274687</v>
      </c>
      <c r="K7">
        <v>100</v>
      </c>
      <c r="L7" s="40" t="s">
        <v>457</v>
      </c>
      <c r="M7" s="40" t="s">
        <v>296</v>
      </c>
      <c r="N7" s="40" t="s">
        <v>298</v>
      </c>
      <c r="O7" s="40" t="s">
        <v>452</v>
      </c>
    </row>
    <row r="8" spans="1:15" x14ac:dyDescent="0.2">
      <c r="A8" s="40" t="s">
        <v>299</v>
      </c>
      <c r="B8" s="40" t="s">
        <v>294</v>
      </c>
      <c r="C8" s="40" t="s">
        <v>246</v>
      </c>
      <c r="D8" s="40" t="s">
        <v>247</v>
      </c>
      <c r="E8" s="40" t="s">
        <v>295</v>
      </c>
      <c r="F8">
        <v>5</v>
      </c>
      <c r="G8" s="41">
        <v>46289.418100150462</v>
      </c>
      <c r="H8" s="41">
        <v>46289.606437997689</v>
      </c>
      <c r="I8" s="41">
        <v>46289.609955983797</v>
      </c>
      <c r="J8">
        <v>148.14814814814815</v>
      </c>
      <c r="K8">
        <v>100</v>
      </c>
      <c r="L8" s="40" t="s">
        <v>301</v>
      </c>
      <c r="M8" s="40" t="s">
        <v>296</v>
      </c>
      <c r="N8" s="40" t="s">
        <v>292</v>
      </c>
      <c r="O8" s="40" t="s">
        <v>458</v>
      </c>
    </row>
    <row r="9" spans="1:15" x14ac:dyDescent="0.2">
      <c r="A9" s="40" t="s">
        <v>299</v>
      </c>
      <c r="B9" s="40" t="s">
        <v>294</v>
      </c>
      <c r="C9" s="40" t="s">
        <v>252</v>
      </c>
      <c r="D9" s="40" t="s">
        <v>253</v>
      </c>
      <c r="E9" s="40" t="s">
        <v>295</v>
      </c>
      <c r="F9">
        <v>11</v>
      </c>
      <c r="G9" s="41">
        <v>46289.428823506947</v>
      </c>
      <c r="H9" s="41">
        <v>46289.606437997689</v>
      </c>
      <c r="I9" s="41">
        <v>46289.609955983797</v>
      </c>
      <c r="J9">
        <v>455.79542940228083</v>
      </c>
      <c r="K9">
        <v>100</v>
      </c>
      <c r="L9" s="40" t="s">
        <v>459</v>
      </c>
      <c r="M9" s="40" t="s">
        <v>296</v>
      </c>
      <c r="N9" s="40" t="s">
        <v>303</v>
      </c>
      <c r="O9" s="40" t="s">
        <v>458</v>
      </c>
    </row>
    <row r="10" spans="1:15" x14ac:dyDescent="0.2">
      <c r="A10" s="40" t="s">
        <v>299</v>
      </c>
      <c r="B10" s="40" t="s">
        <v>294</v>
      </c>
      <c r="C10" s="40" t="s">
        <v>244</v>
      </c>
      <c r="D10" s="40" t="s">
        <v>245</v>
      </c>
      <c r="E10" s="40" t="s">
        <v>295</v>
      </c>
      <c r="F10">
        <v>29</v>
      </c>
      <c r="G10" s="41">
        <v>46289.418100150462</v>
      </c>
      <c r="H10" s="41">
        <v>46289.595883761576</v>
      </c>
      <c r="I10" s="41">
        <v>46289.599401446758</v>
      </c>
      <c r="J10">
        <v>541.93355618218789</v>
      </c>
      <c r="K10">
        <v>100</v>
      </c>
      <c r="L10" s="40" t="s">
        <v>440</v>
      </c>
      <c r="M10" s="40" t="s">
        <v>296</v>
      </c>
      <c r="N10" s="40" t="s">
        <v>292</v>
      </c>
      <c r="O10" s="40" t="s">
        <v>438</v>
      </c>
    </row>
    <row r="11" spans="1:15" x14ac:dyDescent="0.2">
      <c r="A11" s="40" t="s">
        <v>299</v>
      </c>
      <c r="B11" s="40" t="s">
        <v>294</v>
      </c>
      <c r="C11" s="40" t="s">
        <v>238</v>
      </c>
      <c r="D11" s="40" t="s">
        <v>239</v>
      </c>
      <c r="E11" s="40" t="s">
        <v>295</v>
      </c>
      <c r="F11">
        <v>1</v>
      </c>
      <c r="G11" s="41">
        <v>46289.592365960649</v>
      </c>
      <c r="H11" s="41">
        <v>46289.592365960649</v>
      </c>
      <c r="I11" s="41">
        <v>46289.595883761576</v>
      </c>
      <c r="J11">
        <v>189.41504178272982</v>
      </c>
      <c r="K11">
        <v>100</v>
      </c>
      <c r="L11" s="40" t="s">
        <v>441</v>
      </c>
      <c r="M11" s="40" t="s">
        <v>296</v>
      </c>
      <c r="N11" s="40" t="s">
        <v>442</v>
      </c>
      <c r="O11" s="40" t="s">
        <v>443</v>
      </c>
    </row>
    <row r="12" spans="1:15" x14ac:dyDescent="0.2">
      <c r="A12" s="40" t="s">
        <v>299</v>
      </c>
      <c r="B12" s="40" t="s">
        <v>294</v>
      </c>
      <c r="C12" s="40" t="s">
        <v>207</v>
      </c>
      <c r="D12" s="40" t="s">
        <v>208</v>
      </c>
      <c r="E12" s="40" t="s">
        <v>305</v>
      </c>
      <c r="F12">
        <v>1</v>
      </c>
      <c r="G12" s="41">
        <v>46289.518451655094</v>
      </c>
      <c r="H12" s="41">
        <v>46289.518451655094</v>
      </c>
      <c r="I12" s="41">
        <v>46289.521967986111</v>
      </c>
      <c r="J12">
        <v>3.2416817522806123</v>
      </c>
      <c r="K12">
        <v>3</v>
      </c>
      <c r="L12" s="40" t="s">
        <v>306</v>
      </c>
      <c r="M12" s="40" t="s">
        <v>291</v>
      </c>
      <c r="N12" s="40" t="s">
        <v>307</v>
      </c>
      <c r="O12" s="40" t="s">
        <v>298</v>
      </c>
    </row>
    <row r="13" spans="1:15" x14ac:dyDescent="0.2">
      <c r="A13" s="40" t="s">
        <v>299</v>
      </c>
      <c r="B13" s="40" t="s">
        <v>294</v>
      </c>
      <c r="C13" s="40" t="s">
        <v>236</v>
      </c>
      <c r="D13" s="40" t="s">
        <v>237</v>
      </c>
      <c r="E13" s="40" t="s">
        <v>305</v>
      </c>
      <c r="F13">
        <v>1</v>
      </c>
      <c r="G13" s="41">
        <v>46289.511411053238</v>
      </c>
      <c r="H13" s="41">
        <v>46289.511411053238</v>
      </c>
      <c r="I13" s="41">
        <v>46289.514935798608</v>
      </c>
      <c r="J13">
        <v>3.2430299696394727</v>
      </c>
      <c r="K13">
        <v>3</v>
      </c>
      <c r="L13" s="40" t="s">
        <v>308</v>
      </c>
      <c r="M13" s="40" t="s">
        <v>291</v>
      </c>
      <c r="N13" s="40" t="s">
        <v>309</v>
      </c>
      <c r="O13" s="40" t="s">
        <v>310</v>
      </c>
    </row>
    <row r="14" spans="1:15" x14ac:dyDescent="0.2">
      <c r="A14" s="40" t="s">
        <v>299</v>
      </c>
      <c r="B14" s="40" t="s">
        <v>294</v>
      </c>
      <c r="C14" s="40" t="s">
        <v>240</v>
      </c>
      <c r="D14" s="40" t="s">
        <v>241</v>
      </c>
      <c r="E14" s="40" t="s">
        <v>305</v>
      </c>
      <c r="F14">
        <v>1</v>
      </c>
      <c r="G14" s="41">
        <v>46289.511411053238</v>
      </c>
      <c r="H14" s="41">
        <v>46289.511411053238</v>
      </c>
      <c r="I14" s="41">
        <v>46289.514935798608</v>
      </c>
      <c r="J14">
        <v>-3.4401399160703434</v>
      </c>
      <c r="K14">
        <v>3</v>
      </c>
      <c r="L14" s="40" t="s">
        <v>311</v>
      </c>
      <c r="M14" s="40" t="s">
        <v>291</v>
      </c>
      <c r="N14" s="40" t="s">
        <v>309</v>
      </c>
      <c r="O14" s="40" t="s">
        <v>310</v>
      </c>
    </row>
    <row r="15" spans="1:15" x14ac:dyDescent="0.2">
      <c r="A15" s="40" t="s">
        <v>299</v>
      </c>
      <c r="B15" s="40" t="s">
        <v>294</v>
      </c>
      <c r="C15" s="40" t="s">
        <v>252</v>
      </c>
      <c r="D15" s="40" t="s">
        <v>253</v>
      </c>
      <c r="E15" s="40" t="s">
        <v>305</v>
      </c>
      <c r="F15">
        <v>1</v>
      </c>
      <c r="G15" s="41">
        <v>46289.511411053238</v>
      </c>
      <c r="H15" s="41">
        <v>46289.511411053238</v>
      </c>
      <c r="I15" s="41">
        <v>46289.514935798608</v>
      </c>
      <c r="J15">
        <v>-3.6040373300284894</v>
      </c>
      <c r="K15">
        <v>3</v>
      </c>
      <c r="L15" s="40" t="s">
        <v>312</v>
      </c>
      <c r="M15" s="40" t="s">
        <v>291</v>
      </c>
      <c r="N15" s="40" t="s">
        <v>309</v>
      </c>
      <c r="O15" s="40" t="s">
        <v>310</v>
      </c>
    </row>
    <row r="16" spans="1:15" x14ac:dyDescent="0.2">
      <c r="A16" s="40" t="s">
        <v>299</v>
      </c>
      <c r="B16" s="40" t="s">
        <v>294</v>
      </c>
      <c r="C16" s="40" t="s">
        <v>189</v>
      </c>
      <c r="D16" s="40" t="s">
        <v>5</v>
      </c>
      <c r="E16" s="40" t="s">
        <v>305</v>
      </c>
      <c r="F16">
        <v>1</v>
      </c>
      <c r="G16" s="41">
        <v>46289.511411053238</v>
      </c>
      <c r="H16" s="41">
        <v>46289.511411053238</v>
      </c>
      <c r="I16" s="41">
        <v>46289.514935798608</v>
      </c>
      <c r="J16">
        <v>3.3719789454009277</v>
      </c>
      <c r="K16">
        <v>3</v>
      </c>
      <c r="L16" s="40" t="s">
        <v>313</v>
      </c>
      <c r="M16" s="40" t="s">
        <v>291</v>
      </c>
      <c r="N16" s="40" t="s">
        <v>309</v>
      </c>
      <c r="O16" s="40" t="s">
        <v>310</v>
      </c>
    </row>
    <row r="17" spans="1:15" x14ac:dyDescent="0.2">
      <c r="A17" s="40" t="s">
        <v>299</v>
      </c>
      <c r="B17" s="40" t="s">
        <v>294</v>
      </c>
      <c r="C17" s="40" t="s">
        <v>196</v>
      </c>
      <c r="D17" s="40" t="s">
        <v>6</v>
      </c>
      <c r="E17" s="40" t="s">
        <v>305</v>
      </c>
      <c r="F17">
        <v>1</v>
      </c>
      <c r="G17" s="41">
        <v>46289.511411053238</v>
      </c>
      <c r="H17" s="41">
        <v>46289.511411053238</v>
      </c>
      <c r="I17" s="41">
        <v>46289.514935798608</v>
      </c>
      <c r="J17">
        <v>3.2191864804086334</v>
      </c>
      <c r="K17">
        <v>3</v>
      </c>
      <c r="L17" s="40" t="s">
        <v>314</v>
      </c>
      <c r="M17" s="40" t="s">
        <v>291</v>
      </c>
      <c r="N17" s="40" t="s">
        <v>309</v>
      </c>
      <c r="O17" s="40" t="s">
        <v>310</v>
      </c>
    </row>
    <row r="18" spans="1:15" x14ac:dyDescent="0.2">
      <c r="A18" s="40" t="s">
        <v>299</v>
      </c>
      <c r="B18" s="40" t="s">
        <v>294</v>
      </c>
      <c r="C18" s="40" t="s">
        <v>259</v>
      </c>
      <c r="D18" s="40" t="s">
        <v>260</v>
      </c>
      <c r="E18" s="40" t="s">
        <v>295</v>
      </c>
      <c r="F18">
        <v>1</v>
      </c>
      <c r="G18" s="41">
        <v>46289.507888009262</v>
      </c>
      <c r="H18" s="41">
        <v>46289.507888009262</v>
      </c>
      <c r="I18" s="41">
        <v>46289.511411053238</v>
      </c>
      <c r="J18">
        <v>119.46582461680207</v>
      </c>
      <c r="K18">
        <v>100</v>
      </c>
      <c r="L18" s="40" t="s">
        <v>315</v>
      </c>
      <c r="M18" s="40" t="s">
        <v>296</v>
      </c>
      <c r="N18" s="40" t="s">
        <v>316</v>
      </c>
      <c r="O18" s="40" t="s">
        <v>309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81E0-632D-904B-AFEA-E3EBF843572C}">
  <dimension ref="A1:P2"/>
  <sheetViews>
    <sheetView workbookViewId="0"/>
  </sheetViews>
  <sheetFormatPr baseColWidth="10" defaultRowHeight="16" x14ac:dyDescent="0.2"/>
  <cols>
    <col min="1" max="1" width="16.83203125" bestFit="1" customWidth="1"/>
    <col min="2" max="2" width="14.6640625" bestFit="1" customWidth="1"/>
    <col min="3" max="3" width="9" bestFit="1" customWidth="1"/>
    <col min="4" max="4" width="19.1640625" bestFit="1" customWidth="1"/>
    <col min="5" max="5" width="16" bestFit="1" customWidth="1"/>
    <col min="6" max="6" width="13" bestFit="1" customWidth="1"/>
    <col min="7" max="7" width="17.1640625" bestFit="1" customWidth="1"/>
    <col min="8" max="8" width="20.83203125" bestFit="1" customWidth="1"/>
    <col min="9" max="9" width="22.6640625" bestFit="1" customWidth="1"/>
    <col min="10" max="10" width="20.33203125" bestFit="1" customWidth="1"/>
    <col min="11" max="11" width="23.6640625" bestFit="1" customWidth="1"/>
    <col min="12" max="12" width="16.83203125" bestFit="1" customWidth="1"/>
    <col min="13" max="13" width="15.5" bestFit="1" customWidth="1"/>
    <col min="14" max="14" width="19" bestFit="1" customWidth="1"/>
    <col min="15" max="15" width="33.83203125" bestFit="1" customWidth="1"/>
    <col min="16" max="16" width="80.6640625" bestFit="1" customWidth="1"/>
  </cols>
  <sheetData>
    <row r="1" spans="1:16" x14ac:dyDescent="0.2">
      <c r="A1" t="s">
        <v>272</v>
      </c>
      <c r="B1" t="s">
        <v>317</v>
      </c>
      <c r="C1" t="s">
        <v>276</v>
      </c>
      <c r="D1" t="s">
        <v>318</v>
      </c>
      <c r="E1" t="s">
        <v>319</v>
      </c>
      <c r="F1" t="s">
        <v>320</v>
      </c>
      <c r="G1" t="s">
        <v>321</v>
      </c>
      <c r="H1" t="s">
        <v>322</v>
      </c>
      <c r="I1" t="s">
        <v>323</v>
      </c>
      <c r="J1" t="s">
        <v>324</v>
      </c>
      <c r="K1" t="s">
        <v>325</v>
      </c>
      <c r="L1" t="s">
        <v>326</v>
      </c>
      <c r="M1" t="s">
        <v>327</v>
      </c>
      <c r="N1" t="s">
        <v>328</v>
      </c>
      <c r="O1" t="s">
        <v>329</v>
      </c>
      <c r="P1" t="s">
        <v>330</v>
      </c>
    </row>
    <row r="2" spans="1:16" x14ac:dyDescent="0.2">
      <c r="A2" s="41">
        <v>46289.735422812497</v>
      </c>
      <c r="B2">
        <v>93.75</v>
      </c>
      <c r="C2" s="40" t="s">
        <v>140</v>
      </c>
      <c r="D2">
        <v>100</v>
      </c>
      <c r="E2">
        <v>75</v>
      </c>
      <c r="F2">
        <v>100</v>
      </c>
      <c r="G2">
        <v>100</v>
      </c>
      <c r="H2">
        <v>1</v>
      </c>
      <c r="I2">
        <v>0</v>
      </c>
      <c r="J2">
        <v>1</v>
      </c>
      <c r="K2">
        <v>0</v>
      </c>
      <c r="L2">
        <v>32</v>
      </c>
      <c r="M2">
        <v>16</v>
      </c>
      <c r="N2">
        <v>4</v>
      </c>
      <c r="O2" s="40" t="s">
        <v>472</v>
      </c>
      <c r="P2" s="40" t="s">
        <v>331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4CD1-4995-CE4D-800E-A785532C661B}">
  <dimension ref="A1:M204"/>
  <sheetViews>
    <sheetView workbookViewId="0"/>
  </sheetViews>
  <sheetFormatPr baseColWidth="10" defaultRowHeight="16" x14ac:dyDescent="0.2"/>
  <cols>
    <col min="1" max="1" width="16.83203125" bestFit="1" customWidth="1"/>
    <col min="2" max="2" width="14.6640625" bestFit="1" customWidth="1"/>
    <col min="3" max="3" width="10.33203125" bestFit="1" customWidth="1"/>
    <col min="4" max="4" width="19.1640625" bestFit="1" customWidth="1"/>
    <col min="5" max="5" width="16" bestFit="1" customWidth="1"/>
    <col min="6" max="6" width="13" bestFit="1" customWidth="1"/>
    <col min="7" max="7" width="17.1640625" bestFit="1" customWidth="1"/>
    <col min="8" max="8" width="20.83203125" bestFit="1" customWidth="1"/>
    <col min="9" max="9" width="22.6640625" bestFit="1" customWidth="1"/>
    <col min="10" max="10" width="20.33203125" bestFit="1" customWidth="1"/>
    <col min="11" max="11" width="23.6640625" bestFit="1" customWidth="1"/>
    <col min="12" max="12" width="19" bestFit="1" customWidth="1"/>
    <col min="13" max="13" width="33.83203125" bestFit="1" customWidth="1"/>
  </cols>
  <sheetData>
    <row r="1" spans="1:13" x14ac:dyDescent="0.2">
      <c r="A1" t="s">
        <v>272</v>
      </c>
      <c r="B1" t="s">
        <v>317</v>
      </c>
      <c r="C1" t="s">
        <v>276</v>
      </c>
      <c r="D1" t="s">
        <v>318</v>
      </c>
      <c r="E1" t="s">
        <v>319</v>
      </c>
      <c r="F1" t="s">
        <v>320</v>
      </c>
      <c r="G1" t="s">
        <v>321</v>
      </c>
      <c r="H1" t="s">
        <v>322</v>
      </c>
      <c r="I1" t="s">
        <v>323</v>
      </c>
      <c r="J1" t="s">
        <v>324</v>
      </c>
      <c r="K1" t="s">
        <v>325</v>
      </c>
      <c r="L1" t="s">
        <v>328</v>
      </c>
      <c r="M1" t="s">
        <v>329</v>
      </c>
    </row>
    <row r="2" spans="1:13" x14ac:dyDescent="0.2">
      <c r="A2" s="133">
        <v>46289.418100150462</v>
      </c>
      <c r="B2">
        <v>94.62</v>
      </c>
      <c r="C2" s="40" t="s">
        <v>140</v>
      </c>
      <c r="D2">
        <v>100</v>
      </c>
      <c r="E2">
        <v>97.3</v>
      </c>
      <c r="F2">
        <v>100</v>
      </c>
      <c r="G2">
        <v>76.47</v>
      </c>
      <c r="H2">
        <v>5</v>
      </c>
      <c r="I2">
        <v>0</v>
      </c>
      <c r="J2">
        <v>1</v>
      </c>
      <c r="K2">
        <v>4</v>
      </c>
      <c r="L2">
        <v>37</v>
      </c>
      <c r="M2" s="40" t="s">
        <v>292</v>
      </c>
    </row>
    <row r="3" spans="1:13" x14ac:dyDescent="0.2">
      <c r="A3" s="133">
        <v>46289.418266215274</v>
      </c>
      <c r="B3">
        <v>93.44</v>
      </c>
      <c r="C3" s="40" t="s">
        <v>140</v>
      </c>
      <c r="D3">
        <v>100</v>
      </c>
      <c r="E3">
        <v>97.3</v>
      </c>
      <c r="F3">
        <v>100</v>
      </c>
      <c r="G3">
        <v>70.59</v>
      </c>
      <c r="H3">
        <v>6</v>
      </c>
      <c r="I3">
        <v>0</v>
      </c>
      <c r="J3">
        <v>1</v>
      </c>
      <c r="K3">
        <v>5</v>
      </c>
      <c r="L3">
        <v>37</v>
      </c>
      <c r="M3" s="40" t="s">
        <v>297</v>
      </c>
    </row>
    <row r="4" spans="1:13" x14ac:dyDescent="0.2">
      <c r="A4" s="133">
        <v>46289.421780324075</v>
      </c>
      <c r="B4">
        <v>95.8</v>
      </c>
      <c r="C4" s="40" t="s">
        <v>138</v>
      </c>
      <c r="D4">
        <v>100</v>
      </c>
      <c r="E4">
        <v>97.3</v>
      </c>
      <c r="F4">
        <v>100</v>
      </c>
      <c r="G4">
        <v>82.35</v>
      </c>
      <c r="H4">
        <v>4</v>
      </c>
      <c r="I4">
        <v>0</v>
      </c>
      <c r="J4">
        <v>1</v>
      </c>
      <c r="K4">
        <v>3</v>
      </c>
      <c r="L4">
        <v>37</v>
      </c>
      <c r="M4" s="40" t="s">
        <v>332</v>
      </c>
    </row>
    <row r="5" spans="1:13" x14ac:dyDescent="0.2">
      <c r="A5" s="133">
        <v>46289.425304895834</v>
      </c>
      <c r="B5">
        <v>95.8</v>
      </c>
      <c r="C5" s="40" t="s">
        <v>138</v>
      </c>
      <c r="D5">
        <v>100</v>
      </c>
      <c r="E5">
        <v>97.3</v>
      </c>
      <c r="F5">
        <v>100</v>
      </c>
      <c r="G5">
        <v>82.35</v>
      </c>
      <c r="H5">
        <v>4</v>
      </c>
      <c r="I5">
        <v>0</v>
      </c>
      <c r="J5">
        <v>1</v>
      </c>
      <c r="K5">
        <v>3</v>
      </c>
      <c r="L5">
        <v>37</v>
      </c>
      <c r="M5" s="40" t="s">
        <v>333</v>
      </c>
    </row>
    <row r="6" spans="1:13" x14ac:dyDescent="0.2">
      <c r="A6" s="133">
        <v>46289.425547106483</v>
      </c>
      <c r="B6">
        <v>95.8</v>
      </c>
      <c r="C6" s="40" t="s">
        <v>138</v>
      </c>
      <c r="D6">
        <v>100</v>
      </c>
      <c r="E6">
        <v>97.3</v>
      </c>
      <c r="F6">
        <v>100</v>
      </c>
      <c r="G6">
        <v>82.35</v>
      </c>
      <c r="H6">
        <v>4</v>
      </c>
      <c r="I6">
        <v>0</v>
      </c>
      <c r="J6">
        <v>1</v>
      </c>
      <c r="K6">
        <v>3</v>
      </c>
      <c r="L6">
        <v>37</v>
      </c>
      <c r="M6" s="40" t="s">
        <v>334</v>
      </c>
    </row>
    <row r="7" spans="1:13" x14ac:dyDescent="0.2">
      <c r="A7" s="133">
        <v>46289.428823506947</v>
      </c>
      <c r="B7">
        <v>95.8</v>
      </c>
      <c r="C7" s="40" t="s">
        <v>138</v>
      </c>
      <c r="D7">
        <v>100</v>
      </c>
      <c r="E7">
        <v>97.3</v>
      </c>
      <c r="F7">
        <v>100</v>
      </c>
      <c r="G7">
        <v>82.35</v>
      </c>
      <c r="H7">
        <v>4</v>
      </c>
      <c r="I7">
        <v>0</v>
      </c>
      <c r="J7">
        <v>1</v>
      </c>
      <c r="K7">
        <v>3</v>
      </c>
      <c r="L7">
        <v>37</v>
      </c>
      <c r="M7" s="40" t="s">
        <v>303</v>
      </c>
    </row>
    <row r="8" spans="1:13" x14ac:dyDescent="0.2">
      <c r="A8" s="133">
        <v>46289.432339224535</v>
      </c>
      <c r="B8">
        <v>94.62</v>
      </c>
      <c r="C8" s="40" t="s">
        <v>140</v>
      </c>
      <c r="D8">
        <v>100</v>
      </c>
      <c r="E8">
        <v>97.3</v>
      </c>
      <c r="F8">
        <v>100</v>
      </c>
      <c r="G8">
        <v>76.47</v>
      </c>
      <c r="H8">
        <v>5</v>
      </c>
      <c r="I8">
        <v>0</v>
      </c>
      <c r="J8">
        <v>1</v>
      </c>
      <c r="K8">
        <v>4</v>
      </c>
      <c r="L8">
        <v>37</v>
      </c>
      <c r="M8" s="40" t="s">
        <v>335</v>
      </c>
    </row>
    <row r="9" spans="1:13" x14ac:dyDescent="0.2">
      <c r="A9" s="133">
        <v>46289.435854409719</v>
      </c>
      <c r="B9">
        <v>95.8</v>
      </c>
      <c r="C9" s="40" t="s">
        <v>138</v>
      </c>
      <c r="D9">
        <v>100</v>
      </c>
      <c r="E9">
        <v>97.3</v>
      </c>
      <c r="F9">
        <v>100</v>
      </c>
      <c r="G9">
        <v>82.35</v>
      </c>
      <c r="H9">
        <v>4</v>
      </c>
      <c r="I9">
        <v>0</v>
      </c>
      <c r="J9">
        <v>1</v>
      </c>
      <c r="K9">
        <v>3</v>
      </c>
      <c r="L9">
        <v>37</v>
      </c>
      <c r="M9" s="40" t="s">
        <v>336</v>
      </c>
    </row>
    <row r="10" spans="1:13" x14ac:dyDescent="0.2">
      <c r="A10" s="133">
        <v>46289.439369282409</v>
      </c>
      <c r="B10">
        <v>95.8</v>
      </c>
      <c r="C10" s="40" t="s">
        <v>138</v>
      </c>
      <c r="D10">
        <v>100</v>
      </c>
      <c r="E10">
        <v>97.3</v>
      </c>
      <c r="F10">
        <v>100</v>
      </c>
      <c r="G10">
        <v>82.35</v>
      </c>
      <c r="H10">
        <v>4</v>
      </c>
      <c r="I10">
        <v>0</v>
      </c>
      <c r="J10">
        <v>1</v>
      </c>
      <c r="K10">
        <v>3</v>
      </c>
      <c r="L10">
        <v>37</v>
      </c>
      <c r="M10" s="40" t="s">
        <v>337</v>
      </c>
    </row>
    <row r="11" spans="1:13" x14ac:dyDescent="0.2">
      <c r="A11" s="133">
        <v>46289.442884745367</v>
      </c>
      <c r="B11">
        <v>94.62</v>
      </c>
      <c r="C11" s="40" t="s">
        <v>140</v>
      </c>
      <c r="D11">
        <v>100</v>
      </c>
      <c r="E11">
        <v>97.3</v>
      </c>
      <c r="F11">
        <v>100</v>
      </c>
      <c r="G11">
        <v>76.47</v>
      </c>
      <c r="H11">
        <v>5</v>
      </c>
      <c r="I11">
        <v>0</v>
      </c>
      <c r="J11">
        <v>1</v>
      </c>
      <c r="K11">
        <v>4</v>
      </c>
      <c r="L11">
        <v>37</v>
      </c>
      <c r="M11" s="40" t="s">
        <v>338</v>
      </c>
    </row>
    <row r="12" spans="1:13" x14ac:dyDescent="0.2">
      <c r="A12" s="133">
        <v>46289.447565416667</v>
      </c>
      <c r="B12">
        <v>96.97</v>
      </c>
      <c r="C12" s="40" t="s">
        <v>138</v>
      </c>
      <c r="D12">
        <v>100</v>
      </c>
      <c r="E12">
        <v>97.3</v>
      </c>
      <c r="F12">
        <v>100</v>
      </c>
      <c r="G12">
        <v>88.24</v>
      </c>
      <c r="H12">
        <v>3</v>
      </c>
      <c r="I12">
        <v>0</v>
      </c>
      <c r="J12">
        <v>1</v>
      </c>
      <c r="K12">
        <v>2</v>
      </c>
      <c r="L12">
        <v>37</v>
      </c>
      <c r="M12" s="40" t="s">
        <v>339</v>
      </c>
    </row>
    <row r="13" spans="1:13" x14ac:dyDescent="0.2">
      <c r="A13" s="133">
        <v>46289.493769606481</v>
      </c>
      <c r="B13">
        <v>98.15</v>
      </c>
      <c r="C13" s="40" t="s">
        <v>138</v>
      </c>
      <c r="D13">
        <v>100</v>
      </c>
      <c r="E13">
        <v>97.3</v>
      </c>
      <c r="F13">
        <v>100</v>
      </c>
      <c r="G13">
        <v>94.12</v>
      </c>
      <c r="H13">
        <v>2</v>
      </c>
      <c r="I13">
        <v>0</v>
      </c>
      <c r="J13">
        <v>1</v>
      </c>
      <c r="K13">
        <v>1</v>
      </c>
      <c r="L13">
        <v>37</v>
      </c>
      <c r="M13" s="40" t="s">
        <v>340</v>
      </c>
    </row>
    <row r="14" spans="1:13" x14ac:dyDescent="0.2">
      <c r="A14" s="133">
        <v>46289.497330046295</v>
      </c>
      <c r="B14">
        <v>95.8</v>
      </c>
      <c r="C14" s="40" t="s">
        <v>138</v>
      </c>
      <c r="D14">
        <v>100</v>
      </c>
      <c r="E14">
        <v>97.3</v>
      </c>
      <c r="F14">
        <v>100</v>
      </c>
      <c r="G14">
        <v>82.35</v>
      </c>
      <c r="H14">
        <v>4</v>
      </c>
      <c r="I14">
        <v>0</v>
      </c>
      <c r="J14">
        <v>1</v>
      </c>
      <c r="K14">
        <v>3</v>
      </c>
      <c r="L14">
        <v>37</v>
      </c>
      <c r="M14" s="40" t="s">
        <v>341</v>
      </c>
    </row>
    <row r="15" spans="1:13" x14ac:dyDescent="0.2">
      <c r="A15" s="133">
        <v>46289.500847442127</v>
      </c>
      <c r="B15">
        <v>96.97</v>
      </c>
      <c r="C15" s="40" t="s">
        <v>138</v>
      </c>
      <c r="D15">
        <v>100</v>
      </c>
      <c r="E15">
        <v>97.3</v>
      </c>
      <c r="F15">
        <v>100</v>
      </c>
      <c r="G15">
        <v>88.24</v>
      </c>
      <c r="H15">
        <v>3</v>
      </c>
      <c r="I15">
        <v>0</v>
      </c>
      <c r="J15">
        <v>1</v>
      </c>
      <c r="K15">
        <v>2</v>
      </c>
      <c r="L15">
        <v>37</v>
      </c>
      <c r="M15" s="40" t="s">
        <v>342</v>
      </c>
    </row>
    <row r="16" spans="1:13" x14ac:dyDescent="0.2">
      <c r="A16" s="133">
        <v>46289.504365324072</v>
      </c>
      <c r="B16">
        <v>94.62</v>
      </c>
      <c r="C16" s="40" t="s">
        <v>140</v>
      </c>
      <c r="D16">
        <v>100</v>
      </c>
      <c r="E16">
        <v>97.3</v>
      </c>
      <c r="F16">
        <v>100</v>
      </c>
      <c r="G16">
        <v>76.47</v>
      </c>
      <c r="H16">
        <v>5</v>
      </c>
      <c r="I16">
        <v>0</v>
      </c>
      <c r="J16">
        <v>1</v>
      </c>
      <c r="K16">
        <v>4</v>
      </c>
      <c r="L16">
        <v>37</v>
      </c>
      <c r="M16" s="40" t="s">
        <v>343</v>
      </c>
    </row>
    <row r="17" spans="1:13" x14ac:dyDescent="0.2">
      <c r="A17" s="133">
        <v>46289.507888009262</v>
      </c>
      <c r="B17">
        <v>95.8</v>
      </c>
      <c r="C17" s="40" t="s">
        <v>138</v>
      </c>
      <c r="D17">
        <v>100</v>
      </c>
      <c r="E17">
        <v>97.3</v>
      </c>
      <c r="F17">
        <v>100</v>
      </c>
      <c r="G17">
        <v>82.35</v>
      </c>
      <c r="H17">
        <v>4</v>
      </c>
      <c r="I17">
        <v>0</v>
      </c>
      <c r="J17">
        <v>1</v>
      </c>
      <c r="K17">
        <v>3</v>
      </c>
      <c r="L17">
        <v>37</v>
      </c>
      <c r="M17" s="40" t="s">
        <v>316</v>
      </c>
    </row>
    <row r="18" spans="1:13" x14ac:dyDescent="0.2">
      <c r="A18" s="133">
        <v>46289.511411053238</v>
      </c>
      <c r="B18">
        <v>92.42</v>
      </c>
      <c r="C18" s="40" t="s">
        <v>140</v>
      </c>
      <c r="D18">
        <v>100</v>
      </c>
      <c r="E18">
        <v>97.3</v>
      </c>
      <c r="F18">
        <v>86.49</v>
      </c>
      <c r="G18">
        <v>82.35</v>
      </c>
      <c r="H18">
        <v>9</v>
      </c>
      <c r="I18">
        <v>0</v>
      </c>
      <c r="J18">
        <v>1</v>
      </c>
      <c r="K18">
        <v>8</v>
      </c>
      <c r="L18">
        <v>37</v>
      </c>
      <c r="M18" s="40" t="s">
        <v>309</v>
      </c>
    </row>
    <row r="19" spans="1:13" x14ac:dyDescent="0.2">
      <c r="A19" s="133">
        <v>46289.514935798608</v>
      </c>
      <c r="B19">
        <v>93.44</v>
      </c>
      <c r="C19" s="40" t="s">
        <v>140</v>
      </c>
      <c r="D19">
        <v>100</v>
      </c>
      <c r="E19">
        <v>97.3</v>
      </c>
      <c r="F19">
        <v>100</v>
      </c>
      <c r="G19">
        <v>70.59</v>
      </c>
      <c r="H19">
        <v>6</v>
      </c>
      <c r="I19">
        <v>0</v>
      </c>
      <c r="J19">
        <v>1</v>
      </c>
      <c r="K19">
        <v>5</v>
      </c>
      <c r="L19">
        <v>37</v>
      </c>
      <c r="M19" s="40" t="s">
        <v>310</v>
      </c>
    </row>
    <row r="20" spans="1:13" x14ac:dyDescent="0.2">
      <c r="A20" s="133">
        <v>46289.518451655094</v>
      </c>
      <c r="B20">
        <v>92.77</v>
      </c>
      <c r="C20" s="40" t="s">
        <v>140</v>
      </c>
      <c r="D20">
        <v>100</v>
      </c>
      <c r="E20">
        <v>97.3</v>
      </c>
      <c r="F20">
        <v>97.3</v>
      </c>
      <c r="G20">
        <v>70.59</v>
      </c>
      <c r="H20">
        <v>7</v>
      </c>
      <c r="I20">
        <v>0</v>
      </c>
      <c r="J20">
        <v>1</v>
      </c>
      <c r="K20">
        <v>6</v>
      </c>
      <c r="L20">
        <v>37</v>
      </c>
      <c r="M20" s="40" t="s">
        <v>307</v>
      </c>
    </row>
    <row r="21" spans="1:13" x14ac:dyDescent="0.2">
      <c r="A21" s="133">
        <v>46289.521967986111</v>
      </c>
      <c r="B21">
        <v>93.44</v>
      </c>
      <c r="C21" s="40" t="s">
        <v>140</v>
      </c>
      <c r="D21">
        <v>100</v>
      </c>
      <c r="E21">
        <v>97.3</v>
      </c>
      <c r="F21">
        <v>100</v>
      </c>
      <c r="G21">
        <v>70.59</v>
      </c>
      <c r="H21">
        <v>6</v>
      </c>
      <c r="I21">
        <v>0</v>
      </c>
      <c r="J21">
        <v>1</v>
      </c>
      <c r="K21">
        <v>5</v>
      </c>
      <c r="L21">
        <v>37</v>
      </c>
      <c r="M21" s="40" t="s">
        <v>298</v>
      </c>
    </row>
    <row r="22" spans="1:13" x14ac:dyDescent="0.2">
      <c r="A22" s="133">
        <v>46289.525509861109</v>
      </c>
      <c r="B22">
        <v>95.8</v>
      </c>
      <c r="C22" s="40" t="s">
        <v>138</v>
      </c>
      <c r="D22">
        <v>100</v>
      </c>
      <c r="E22">
        <v>97.3</v>
      </c>
      <c r="F22">
        <v>100</v>
      </c>
      <c r="G22">
        <v>82.35</v>
      </c>
      <c r="H22">
        <v>4</v>
      </c>
      <c r="I22">
        <v>0</v>
      </c>
      <c r="J22">
        <v>1</v>
      </c>
      <c r="K22">
        <v>3</v>
      </c>
      <c r="L22">
        <v>37</v>
      </c>
      <c r="M22" s="40" t="s">
        <v>344</v>
      </c>
    </row>
    <row r="23" spans="1:13" x14ac:dyDescent="0.2">
      <c r="A23" s="133">
        <v>46289.529025682874</v>
      </c>
      <c r="B23">
        <v>94.62</v>
      </c>
      <c r="C23" s="40" t="s">
        <v>140</v>
      </c>
      <c r="D23">
        <v>100</v>
      </c>
      <c r="E23">
        <v>97.3</v>
      </c>
      <c r="F23">
        <v>100</v>
      </c>
      <c r="G23">
        <v>76.47</v>
      </c>
      <c r="H23">
        <v>5</v>
      </c>
      <c r="I23">
        <v>0</v>
      </c>
      <c r="J23">
        <v>1</v>
      </c>
      <c r="K23">
        <v>4</v>
      </c>
      <c r="L23">
        <v>37</v>
      </c>
      <c r="M23" s="40" t="s">
        <v>345</v>
      </c>
    </row>
    <row r="24" spans="1:13" x14ac:dyDescent="0.2">
      <c r="A24" s="133">
        <v>46289.532541064815</v>
      </c>
      <c r="B24">
        <v>94.62</v>
      </c>
      <c r="C24" s="40" t="s">
        <v>140</v>
      </c>
      <c r="D24">
        <v>100</v>
      </c>
      <c r="E24">
        <v>97.3</v>
      </c>
      <c r="F24">
        <v>100</v>
      </c>
      <c r="G24">
        <v>76.47</v>
      </c>
      <c r="H24">
        <v>5</v>
      </c>
      <c r="I24">
        <v>0</v>
      </c>
      <c r="J24">
        <v>1</v>
      </c>
      <c r="K24">
        <v>4</v>
      </c>
      <c r="L24">
        <v>37</v>
      </c>
      <c r="M24" s="40" t="s">
        <v>346</v>
      </c>
    </row>
    <row r="25" spans="1:13" x14ac:dyDescent="0.2">
      <c r="A25" s="133">
        <v>46289.536057141202</v>
      </c>
      <c r="B25">
        <v>96.97</v>
      </c>
      <c r="C25" s="40" t="s">
        <v>138</v>
      </c>
      <c r="D25">
        <v>100</v>
      </c>
      <c r="E25">
        <v>97.3</v>
      </c>
      <c r="F25">
        <v>100</v>
      </c>
      <c r="G25">
        <v>88.24</v>
      </c>
      <c r="H25">
        <v>3</v>
      </c>
      <c r="I25">
        <v>0</v>
      </c>
      <c r="J25">
        <v>1</v>
      </c>
      <c r="K25">
        <v>2</v>
      </c>
      <c r="L25">
        <v>37</v>
      </c>
      <c r="M25" s="40" t="s">
        <v>347</v>
      </c>
    </row>
    <row r="26" spans="1:13" x14ac:dyDescent="0.2">
      <c r="A26" s="133">
        <v>46289.539577303243</v>
      </c>
      <c r="B26">
        <v>96.97</v>
      </c>
      <c r="C26" s="40" t="s">
        <v>138</v>
      </c>
      <c r="D26">
        <v>100</v>
      </c>
      <c r="E26">
        <v>97.3</v>
      </c>
      <c r="F26">
        <v>100</v>
      </c>
      <c r="G26">
        <v>88.24</v>
      </c>
      <c r="H26">
        <v>3</v>
      </c>
      <c r="I26">
        <v>0</v>
      </c>
      <c r="J26">
        <v>1</v>
      </c>
      <c r="K26">
        <v>2</v>
      </c>
      <c r="L26">
        <v>37</v>
      </c>
      <c r="M26" s="40" t="s">
        <v>348</v>
      </c>
    </row>
    <row r="27" spans="1:13" x14ac:dyDescent="0.2">
      <c r="A27" s="133">
        <v>46289.543096284724</v>
      </c>
      <c r="B27">
        <v>92.27</v>
      </c>
      <c r="C27" s="40" t="s">
        <v>140</v>
      </c>
      <c r="D27">
        <v>100</v>
      </c>
      <c r="E27">
        <v>97.3</v>
      </c>
      <c r="F27">
        <v>100</v>
      </c>
      <c r="G27">
        <v>64.709999999999994</v>
      </c>
      <c r="H27">
        <v>7</v>
      </c>
      <c r="I27">
        <v>0</v>
      </c>
      <c r="J27">
        <v>1</v>
      </c>
      <c r="K27">
        <v>6</v>
      </c>
      <c r="L27">
        <v>37</v>
      </c>
      <c r="M27" s="40" t="s">
        <v>349</v>
      </c>
    </row>
    <row r="28" spans="1:13" x14ac:dyDescent="0.2">
      <c r="A28" s="133">
        <v>46289.546615740743</v>
      </c>
      <c r="B28">
        <v>95.8</v>
      </c>
      <c r="C28" s="40" t="s">
        <v>138</v>
      </c>
      <c r="D28">
        <v>100</v>
      </c>
      <c r="E28">
        <v>97.3</v>
      </c>
      <c r="F28">
        <v>100</v>
      </c>
      <c r="G28">
        <v>82.35</v>
      </c>
      <c r="H28">
        <v>4</v>
      </c>
      <c r="I28">
        <v>0</v>
      </c>
      <c r="J28">
        <v>1</v>
      </c>
      <c r="K28">
        <v>3</v>
      </c>
      <c r="L28">
        <v>37</v>
      </c>
      <c r="M28" s="40" t="s">
        <v>304</v>
      </c>
    </row>
    <row r="29" spans="1:13" x14ac:dyDescent="0.2">
      <c r="A29" s="133">
        <v>46289.55013462963</v>
      </c>
      <c r="B29">
        <v>96.97</v>
      </c>
      <c r="C29" s="40" t="s">
        <v>138</v>
      </c>
      <c r="D29">
        <v>100</v>
      </c>
      <c r="E29">
        <v>97.3</v>
      </c>
      <c r="F29">
        <v>100</v>
      </c>
      <c r="G29">
        <v>88.24</v>
      </c>
      <c r="H29">
        <v>3</v>
      </c>
      <c r="I29">
        <v>0</v>
      </c>
      <c r="J29">
        <v>1</v>
      </c>
      <c r="K29">
        <v>2</v>
      </c>
      <c r="L29">
        <v>37</v>
      </c>
      <c r="M29" s="40" t="s">
        <v>302</v>
      </c>
    </row>
    <row r="30" spans="1:13" x14ac:dyDescent="0.2">
      <c r="A30" s="133">
        <v>46289.553655509262</v>
      </c>
      <c r="B30">
        <v>94.62</v>
      </c>
      <c r="C30" s="40" t="s">
        <v>140</v>
      </c>
      <c r="D30">
        <v>100</v>
      </c>
      <c r="E30">
        <v>97.3</v>
      </c>
      <c r="F30">
        <v>100</v>
      </c>
      <c r="G30">
        <v>76.47</v>
      </c>
      <c r="H30">
        <v>5</v>
      </c>
      <c r="I30">
        <v>0</v>
      </c>
      <c r="J30">
        <v>1</v>
      </c>
      <c r="K30">
        <v>4</v>
      </c>
      <c r="L30">
        <v>37</v>
      </c>
      <c r="M30" s="40" t="s">
        <v>350</v>
      </c>
    </row>
    <row r="31" spans="1:13" x14ac:dyDescent="0.2">
      <c r="A31" s="133">
        <v>46289.557176365743</v>
      </c>
      <c r="B31">
        <v>94.62</v>
      </c>
      <c r="C31" s="40" t="s">
        <v>140</v>
      </c>
      <c r="D31">
        <v>100</v>
      </c>
      <c r="E31">
        <v>97.3</v>
      </c>
      <c r="F31">
        <v>100</v>
      </c>
      <c r="G31">
        <v>76.47</v>
      </c>
      <c r="H31">
        <v>5</v>
      </c>
      <c r="I31">
        <v>0</v>
      </c>
      <c r="J31">
        <v>1</v>
      </c>
      <c r="K31">
        <v>4</v>
      </c>
      <c r="L31">
        <v>37</v>
      </c>
      <c r="M31" s="40" t="s">
        <v>351</v>
      </c>
    </row>
    <row r="32" spans="1:13" x14ac:dyDescent="0.2">
      <c r="A32" s="133">
        <v>46289.560702465278</v>
      </c>
      <c r="B32">
        <v>95.8</v>
      </c>
      <c r="C32" s="40" t="s">
        <v>138</v>
      </c>
      <c r="D32">
        <v>100</v>
      </c>
      <c r="E32">
        <v>97.3</v>
      </c>
      <c r="F32">
        <v>100</v>
      </c>
      <c r="G32">
        <v>82.35</v>
      </c>
      <c r="H32">
        <v>4</v>
      </c>
      <c r="I32">
        <v>0</v>
      </c>
      <c r="J32">
        <v>1</v>
      </c>
      <c r="K32">
        <v>3</v>
      </c>
      <c r="L32">
        <v>37</v>
      </c>
      <c r="M32" s="40" t="s">
        <v>300</v>
      </c>
    </row>
    <row r="33" spans="1:13" x14ac:dyDescent="0.2">
      <c r="A33" s="133">
        <v>46289.564220636574</v>
      </c>
      <c r="B33">
        <v>95.8</v>
      </c>
      <c r="C33" s="40" t="s">
        <v>138</v>
      </c>
      <c r="D33">
        <v>100</v>
      </c>
      <c r="E33">
        <v>97.3</v>
      </c>
      <c r="F33">
        <v>100</v>
      </c>
      <c r="G33">
        <v>82.35</v>
      </c>
      <c r="H33">
        <v>4</v>
      </c>
      <c r="I33">
        <v>0</v>
      </c>
      <c r="J33">
        <v>1</v>
      </c>
      <c r="K33">
        <v>3</v>
      </c>
      <c r="L33">
        <v>37</v>
      </c>
      <c r="M33" s="40" t="s">
        <v>293</v>
      </c>
    </row>
    <row r="34" spans="1:13" x14ac:dyDescent="0.2">
      <c r="A34" s="133">
        <v>46289.567737847225</v>
      </c>
      <c r="B34">
        <v>93.44</v>
      </c>
      <c r="C34" s="40" t="s">
        <v>140</v>
      </c>
      <c r="D34">
        <v>100</v>
      </c>
      <c r="E34">
        <v>97.3</v>
      </c>
      <c r="F34">
        <v>100</v>
      </c>
      <c r="G34">
        <v>70.59</v>
      </c>
      <c r="H34">
        <v>6</v>
      </c>
      <c r="I34">
        <v>0</v>
      </c>
      <c r="J34">
        <v>1</v>
      </c>
      <c r="K34">
        <v>5</v>
      </c>
      <c r="L34">
        <v>37</v>
      </c>
      <c r="M34" s="40" t="s">
        <v>444</v>
      </c>
    </row>
    <row r="35" spans="1:13" x14ac:dyDescent="0.2">
      <c r="A35" s="133">
        <v>46289.57125883102</v>
      </c>
      <c r="B35">
        <v>94.62</v>
      </c>
      <c r="C35" s="40" t="s">
        <v>140</v>
      </c>
      <c r="D35">
        <v>100</v>
      </c>
      <c r="E35">
        <v>97.3</v>
      </c>
      <c r="F35">
        <v>100</v>
      </c>
      <c r="G35">
        <v>76.47</v>
      </c>
      <c r="H35">
        <v>5</v>
      </c>
      <c r="I35">
        <v>0</v>
      </c>
      <c r="J35">
        <v>1</v>
      </c>
      <c r="K35">
        <v>4</v>
      </c>
      <c r="L35">
        <v>37</v>
      </c>
      <c r="M35" s="40" t="s">
        <v>445</v>
      </c>
    </row>
    <row r="36" spans="1:13" x14ac:dyDescent="0.2">
      <c r="A36" s="133">
        <v>46289.574775034722</v>
      </c>
      <c r="B36">
        <v>94.62</v>
      </c>
      <c r="C36" s="40" t="s">
        <v>140</v>
      </c>
      <c r="D36">
        <v>100</v>
      </c>
      <c r="E36">
        <v>97.3</v>
      </c>
      <c r="F36">
        <v>100</v>
      </c>
      <c r="G36">
        <v>76.47</v>
      </c>
      <c r="H36">
        <v>5</v>
      </c>
      <c r="I36">
        <v>0</v>
      </c>
      <c r="J36">
        <v>1</v>
      </c>
      <c r="K36">
        <v>4</v>
      </c>
      <c r="L36">
        <v>37</v>
      </c>
      <c r="M36" s="40" t="s">
        <v>446</v>
      </c>
    </row>
    <row r="37" spans="1:13" x14ac:dyDescent="0.2">
      <c r="A37" s="133">
        <v>46289.578291238424</v>
      </c>
      <c r="B37">
        <v>95.8</v>
      </c>
      <c r="C37" s="40" t="s">
        <v>138</v>
      </c>
      <c r="D37">
        <v>100</v>
      </c>
      <c r="E37">
        <v>97.3</v>
      </c>
      <c r="F37">
        <v>100</v>
      </c>
      <c r="G37">
        <v>82.35</v>
      </c>
      <c r="H37">
        <v>4</v>
      </c>
      <c r="I37">
        <v>0</v>
      </c>
      <c r="J37">
        <v>1</v>
      </c>
      <c r="K37">
        <v>3</v>
      </c>
      <c r="L37">
        <v>37</v>
      </c>
      <c r="M37" s="40" t="s">
        <v>447</v>
      </c>
    </row>
    <row r="38" spans="1:13" x14ac:dyDescent="0.2">
      <c r="A38" s="133">
        <v>46289.581812303244</v>
      </c>
      <c r="B38">
        <v>94.62</v>
      </c>
      <c r="C38" s="40" t="s">
        <v>140</v>
      </c>
      <c r="D38">
        <v>100</v>
      </c>
      <c r="E38">
        <v>97.3</v>
      </c>
      <c r="F38">
        <v>100</v>
      </c>
      <c r="G38">
        <v>76.47</v>
      </c>
      <c r="H38">
        <v>5</v>
      </c>
      <c r="I38">
        <v>0</v>
      </c>
      <c r="J38">
        <v>1</v>
      </c>
      <c r="K38">
        <v>4</v>
      </c>
      <c r="L38">
        <v>37</v>
      </c>
      <c r="M38" s="40" t="s">
        <v>448</v>
      </c>
    </row>
    <row r="39" spans="1:13" x14ac:dyDescent="0.2">
      <c r="A39" s="133">
        <v>46289.58533170139</v>
      </c>
      <c r="B39">
        <v>95.8</v>
      </c>
      <c r="C39" s="40" t="s">
        <v>138</v>
      </c>
      <c r="D39">
        <v>100</v>
      </c>
      <c r="E39">
        <v>97.3</v>
      </c>
      <c r="F39">
        <v>100</v>
      </c>
      <c r="G39">
        <v>82.35</v>
      </c>
      <c r="H39">
        <v>4</v>
      </c>
      <c r="I39">
        <v>0</v>
      </c>
      <c r="J39">
        <v>1</v>
      </c>
      <c r="K39">
        <v>3</v>
      </c>
      <c r="L39">
        <v>37</v>
      </c>
      <c r="M39" s="40" t="s">
        <v>449</v>
      </c>
    </row>
    <row r="40" spans="1:13" x14ac:dyDescent="0.2">
      <c r="A40" s="133">
        <v>46289.58884960648</v>
      </c>
      <c r="B40">
        <v>95.8</v>
      </c>
      <c r="C40" s="40" t="s">
        <v>138</v>
      </c>
      <c r="D40">
        <v>100</v>
      </c>
      <c r="E40">
        <v>97.3</v>
      </c>
      <c r="F40">
        <v>100</v>
      </c>
      <c r="G40">
        <v>82.35</v>
      </c>
      <c r="H40">
        <v>4</v>
      </c>
      <c r="I40">
        <v>0</v>
      </c>
      <c r="J40">
        <v>1</v>
      </c>
      <c r="K40">
        <v>3</v>
      </c>
      <c r="L40">
        <v>37</v>
      </c>
      <c r="M40" s="40" t="s">
        <v>450</v>
      </c>
    </row>
    <row r="41" spans="1:13" x14ac:dyDescent="0.2">
      <c r="A41" s="133">
        <v>46289.592365960649</v>
      </c>
      <c r="B41">
        <v>94.62</v>
      </c>
      <c r="C41" s="40" t="s">
        <v>140</v>
      </c>
      <c r="D41">
        <v>100</v>
      </c>
      <c r="E41">
        <v>97.3</v>
      </c>
      <c r="F41">
        <v>100</v>
      </c>
      <c r="G41">
        <v>76.47</v>
      </c>
      <c r="H41">
        <v>5</v>
      </c>
      <c r="I41">
        <v>0</v>
      </c>
      <c r="J41">
        <v>1</v>
      </c>
      <c r="K41">
        <v>4</v>
      </c>
      <c r="L41">
        <v>37</v>
      </c>
      <c r="M41" s="40" t="s">
        <v>442</v>
      </c>
    </row>
    <row r="42" spans="1:13" x14ac:dyDescent="0.2">
      <c r="A42" s="133">
        <v>46289.595883761576</v>
      </c>
      <c r="B42">
        <v>95.8</v>
      </c>
      <c r="C42" s="40" t="s">
        <v>138</v>
      </c>
      <c r="D42">
        <v>100</v>
      </c>
      <c r="E42">
        <v>97.3</v>
      </c>
      <c r="F42">
        <v>100</v>
      </c>
      <c r="G42">
        <v>82.35</v>
      </c>
      <c r="H42">
        <v>4</v>
      </c>
      <c r="I42">
        <v>0</v>
      </c>
      <c r="J42">
        <v>1</v>
      </c>
      <c r="K42">
        <v>3</v>
      </c>
      <c r="L42">
        <v>37</v>
      </c>
      <c r="M42" s="40" t="s">
        <v>443</v>
      </c>
    </row>
    <row r="43" spans="1:13" x14ac:dyDescent="0.2">
      <c r="A43" s="133">
        <v>46289.599401446758</v>
      </c>
      <c r="B43">
        <v>94.62</v>
      </c>
      <c r="C43" s="40" t="s">
        <v>140</v>
      </c>
      <c r="D43">
        <v>100</v>
      </c>
      <c r="E43">
        <v>97.3</v>
      </c>
      <c r="F43">
        <v>100</v>
      </c>
      <c r="G43">
        <v>76.47</v>
      </c>
      <c r="H43">
        <v>5</v>
      </c>
      <c r="I43">
        <v>0</v>
      </c>
      <c r="J43">
        <v>1</v>
      </c>
      <c r="K43">
        <v>4</v>
      </c>
      <c r="L43">
        <v>37</v>
      </c>
      <c r="M43" s="40" t="s">
        <v>438</v>
      </c>
    </row>
    <row r="44" spans="1:13" x14ac:dyDescent="0.2">
      <c r="A44" s="133">
        <v>46289.602917442127</v>
      </c>
      <c r="B44">
        <v>96.97</v>
      </c>
      <c r="C44" s="40" t="s">
        <v>138</v>
      </c>
      <c r="D44">
        <v>100</v>
      </c>
      <c r="E44">
        <v>97.3</v>
      </c>
      <c r="F44">
        <v>100</v>
      </c>
      <c r="G44">
        <v>88.24</v>
      </c>
      <c r="H44">
        <v>3</v>
      </c>
      <c r="I44">
        <v>0</v>
      </c>
      <c r="J44">
        <v>1</v>
      </c>
      <c r="K44">
        <v>2</v>
      </c>
      <c r="L44">
        <v>37</v>
      </c>
      <c r="M44" s="40" t="s">
        <v>451</v>
      </c>
    </row>
    <row r="45" spans="1:13" x14ac:dyDescent="0.2">
      <c r="A45" s="133">
        <v>46289.606437997689</v>
      </c>
      <c r="B45">
        <v>94.62</v>
      </c>
      <c r="C45" s="40" t="s">
        <v>140</v>
      </c>
      <c r="D45">
        <v>100</v>
      </c>
      <c r="E45">
        <v>97.3</v>
      </c>
      <c r="F45">
        <v>100</v>
      </c>
      <c r="G45">
        <v>76.47</v>
      </c>
      <c r="H45">
        <v>5</v>
      </c>
      <c r="I45">
        <v>0</v>
      </c>
      <c r="J45">
        <v>1</v>
      </c>
      <c r="K45">
        <v>4</v>
      </c>
      <c r="L45">
        <v>37</v>
      </c>
      <c r="M45" s="40" t="s">
        <v>461</v>
      </c>
    </row>
    <row r="46" spans="1:13" x14ac:dyDescent="0.2">
      <c r="A46" s="133">
        <v>46289.609955983797</v>
      </c>
      <c r="B46">
        <v>94.62</v>
      </c>
      <c r="C46" s="40" t="s">
        <v>140</v>
      </c>
      <c r="D46">
        <v>100</v>
      </c>
      <c r="E46">
        <v>97.3</v>
      </c>
      <c r="F46">
        <v>100</v>
      </c>
      <c r="G46">
        <v>76.47</v>
      </c>
      <c r="H46">
        <v>5</v>
      </c>
      <c r="I46">
        <v>0</v>
      </c>
      <c r="J46">
        <v>1</v>
      </c>
      <c r="K46">
        <v>4</v>
      </c>
      <c r="L46">
        <v>37</v>
      </c>
      <c r="M46" s="40" t="s">
        <v>458</v>
      </c>
    </row>
    <row r="47" spans="1:13" x14ac:dyDescent="0.2">
      <c r="A47" s="133">
        <v>46289.668897222225</v>
      </c>
      <c r="B47">
        <v>100</v>
      </c>
      <c r="C47" s="40" t="s">
        <v>138</v>
      </c>
      <c r="D47">
        <v>100</v>
      </c>
      <c r="E47">
        <v>100</v>
      </c>
      <c r="F47">
        <v>100</v>
      </c>
      <c r="G47">
        <v>100</v>
      </c>
      <c r="H47">
        <v>0</v>
      </c>
      <c r="I47">
        <v>0</v>
      </c>
      <c r="J47">
        <v>0</v>
      </c>
      <c r="K47">
        <v>0</v>
      </c>
      <c r="L47">
        <v>4</v>
      </c>
      <c r="M47" s="40" t="s">
        <v>452</v>
      </c>
    </row>
    <row r="48" spans="1:13" x14ac:dyDescent="0.2">
      <c r="A48" s="133">
        <v>46289.693079363424</v>
      </c>
      <c r="B48">
        <v>100</v>
      </c>
      <c r="C48" s="40" t="s">
        <v>138</v>
      </c>
      <c r="D48">
        <v>100</v>
      </c>
      <c r="E48">
        <v>100</v>
      </c>
      <c r="F48">
        <v>100</v>
      </c>
      <c r="G48">
        <v>100</v>
      </c>
      <c r="H48">
        <v>0</v>
      </c>
      <c r="I48">
        <v>0</v>
      </c>
      <c r="J48">
        <v>0</v>
      </c>
      <c r="K48">
        <v>0</v>
      </c>
      <c r="L48">
        <v>4</v>
      </c>
      <c r="M48" s="40" t="s">
        <v>462</v>
      </c>
    </row>
    <row r="49" spans="1:13" x14ac:dyDescent="0.2">
      <c r="A49" s="133">
        <v>46289.696602037038</v>
      </c>
      <c r="B49">
        <v>100</v>
      </c>
      <c r="C49" s="40" t="s">
        <v>138</v>
      </c>
      <c r="D49">
        <v>100</v>
      </c>
      <c r="E49">
        <v>100</v>
      </c>
      <c r="F49">
        <v>100</v>
      </c>
      <c r="G49">
        <v>100</v>
      </c>
      <c r="H49">
        <v>0</v>
      </c>
      <c r="I49">
        <v>0</v>
      </c>
      <c r="J49">
        <v>0</v>
      </c>
      <c r="K49">
        <v>0</v>
      </c>
      <c r="L49">
        <v>4</v>
      </c>
      <c r="M49" s="40" t="s">
        <v>463</v>
      </c>
    </row>
    <row r="50" spans="1:13" x14ac:dyDescent="0.2">
      <c r="A50" s="133">
        <v>46289.700123020833</v>
      </c>
      <c r="B50">
        <v>100</v>
      </c>
      <c r="C50" s="40" t="s">
        <v>138</v>
      </c>
      <c r="D50">
        <v>100</v>
      </c>
      <c r="E50">
        <v>100</v>
      </c>
      <c r="F50">
        <v>100</v>
      </c>
      <c r="G50">
        <v>100</v>
      </c>
      <c r="H50">
        <v>0</v>
      </c>
      <c r="I50">
        <v>0</v>
      </c>
      <c r="J50">
        <v>0</v>
      </c>
      <c r="K50">
        <v>0</v>
      </c>
      <c r="L50">
        <v>4</v>
      </c>
      <c r="M50" s="40" t="s">
        <v>464</v>
      </c>
    </row>
    <row r="51" spans="1:13" x14ac:dyDescent="0.2">
      <c r="A51" s="133">
        <v>46289.703640462962</v>
      </c>
      <c r="B51">
        <v>100</v>
      </c>
      <c r="C51" s="40" t="s">
        <v>138</v>
      </c>
      <c r="D51">
        <v>100</v>
      </c>
      <c r="E51">
        <v>100</v>
      </c>
      <c r="F51">
        <v>100</v>
      </c>
      <c r="G51">
        <v>100</v>
      </c>
      <c r="H51">
        <v>0</v>
      </c>
      <c r="I51">
        <v>0</v>
      </c>
      <c r="J51">
        <v>0</v>
      </c>
      <c r="K51">
        <v>0</v>
      </c>
      <c r="L51">
        <v>4</v>
      </c>
      <c r="M51" s="40" t="s">
        <v>465</v>
      </c>
    </row>
    <row r="52" spans="1:13" x14ac:dyDescent="0.2">
      <c r="A52" s="133">
        <v>46289.707156562501</v>
      </c>
      <c r="B52">
        <v>100</v>
      </c>
      <c r="C52" s="40" t="s">
        <v>138</v>
      </c>
      <c r="D52">
        <v>100</v>
      </c>
      <c r="E52">
        <v>100</v>
      </c>
      <c r="F52">
        <v>100</v>
      </c>
      <c r="G52">
        <v>100</v>
      </c>
      <c r="H52">
        <v>0</v>
      </c>
      <c r="I52">
        <v>0</v>
      </c>
      <c r="J52">
        <v>0</v>
      </c>
      <c r="K52">
        <v>0</v>
      </c>
      <c r="L52">
        <v>4</v>
      </c>
      <c r="M52" s="40" t="s">
        <v>466</v>
      </c>
    </row>
    <row r="53" spans="1:13" x14ac:dyDescent="0.2">
      <c r="A53" s="133">
        <v>46289.710690300926</v>
      </c>
      <c r="B53">
        <v>100</v>
      </c>
      <c r="C53" s="40" t="s">
        <v>138</v>
      </c>
      <c r="D53">
        <v>100</v>
      </c>
      <c r="E53">
        <v>100</v>
      </c>
      <c r="F53">
        <v>100</v>
      </c>
      <c r="G53">
        <v>100</v>
      </c>
      <c r="H53">
        <v>0</v>
      </c>
      <c r="I53">
        <v>0</v>
      </c>
      <c r="J53">
        <v>0</v>
      </c>
      <c r="K53">
        <v>0</v>
      </c>
      <c r="L53">
        <v>4</v>
      </c>
      <c r="M53" s="40" t="s">
        <v>460</v>
      </c>
    </row>
    <row r="54" spans="1:13" x14ac:dyDescent="0.2">
      <c r="A54" s="133">
        <v>46289.714215196756</v>
      </c>
      <c r="B54">
        <v>100</v>
      </c>
      <c r="C54" s="40" t="s">
        <v>138</v>
      </c>
      <c r="D54">
        <v>100</v>
      </c>
      <c r="E54">
        <v>100</v>
      </c>
      <c r="F54">
        <v>100</v>
      </c>
      <c r="G54">
        <v>100</v>
      </c>
      <c r="H54">
        <v>0</v>
      </c>
      <c r="I54">
        <v>0</v>
      </c>
      <c r="J54">
        <v>0</v>
      </c>
      <c r="K54">
        <v>0</v>
      </c>
      <c r="L54">
        <v>4</v>
      </c>
      <c r="M54" s="40" t="s">
        <v>467</v>
      </c>
    </row>
    <row r="55" spans="1:13" x14ac:dyDescent="0.2">
      <c r="A55" s="133">
        <v>46289.717732650461</v>
      </c>
      <c r="B55">
        <v>93.75</v>
      </c>
      <c r="C55" s="40" t="s">
        <v>140</v>
      </c>
      <c r="D55">
        <v>100</v>
      </c>
      <c r="E55">
        <v>75</v>
      </c>
      <c r="F55">
        <v>100</v>
      </c>
      <c r="G55">
        <v>100</v>
      </c>
      <c r="H55">
        <v>1</v>
      </c>
      <c r="I55">
        <v>0</v>
      </c>
      <c r="J55">
        <v>1</v>
      </c>
      <c r="K55">
        <v>0</v>
      </c>
      <c r="L55">
        <v>4</v>
      </c>
      <c r="M55" s="40" t="s">
        <v>468</v>
      </c>
    </row>
    <row r="56" spans="1:13" x14ac:dyDescent="0.2">
      <c r="A56" s="133">
        <v>46289.721265624998</v>
      </c>
      <c r="B56">
        <v>93.75</v>
      </c>
      <c r="C56" s="40" t="s">
        <v>140</v>
      </c>
      <c r="D56">
        <v>100</v>
      </c>
      <c r="E56">
        <v>75</v>
      </c>
      <c r="F56">
        <v>100</v>
      </c>
      <c r="G56">
        <v>100</v>
      </c>
      <c r="H56">
        <v>1</v>
      </c>
      <c r="I56">
        <v>0</v>
      </c>
      <c r="J56">
        <v>1</v>
      </c>
      <c r="K56">
        <v>0</v>
      </c>
      <c r="L56">
        <v>4</v>
      </c>
      <c r="M56" s="40" t="s">
        <v>469</v>
      </c>
    </row>
    <row r="57" spans="1:13" x14ac:dyDescent="0.2">
      <c r="A57" s="133">
        <v>46289.7247952662</v>
      </c>
      <c r="B57">
        <v>93.75</v>
      </c>
      <c r="C57" s="40" t="s">
        <v>140</v>
      </c>
      <c r="D57">
        <v>100</v>
      </c>
      <c r="E57">
        <v>75</v>
      </c>
      <c r="F57">
        <v>100</v>
      </c>
      <c r="G57">
        <v>100</v>
      </c>
      <c r="H57">
        <v>1</v>
      </c>
      <c r="I57">
        <v>0</v>
      </c>
      <c r="J57">
        <v>1</v>
      </c>
      <c r="K57">
        <v>0</v>
      </c>
      <c r="L57">
        <v>4</v>
      </c>
      <c r="M57" s="40" t="s">
        <v>470</v>
      </c>
    </row>
    <row r="58" spans="1:13" x14ac:dyDescent="0.2">
      <c r="A58" s="133">
        <v>46289.728318912035</v>
      </c>
      <c r="B58">
        <v>93.75</v>
      </c>
      <c r="C58" s="40" t="s">
        <v>140</v>
      </c>
      <c r="D58">
        <v>100</v>
      </c>
      <c r="E58">
        <v>75</v>
      </c>
      <c r="F58">
        <v>100</v>
      </c>
      <c r="G58">
        <v>100</v>
      </c>
      <c r="H58">
        <v>1</v>
      </c>
      <c r="I58">
        <v>0</v>
      </c>
      <c r="J58">
        <v>1</v>
      </c>
      <c r="K58">
        <v>0</v>
      </c>
      <c r="L58">
        <v>4</v>
      </c>
      <c r="M58" s="40" t="s">
        <v>473</v>
      </c>
    </row>
    <row r="59" spans="1:13" x14ac:dyDescent="0.2">
      <c r="A59" s="133">
        <v>46289.731835462961</v>
      </c>
      <c r="B59">
        <v>93.75</v>
      </c>
      <c r="C59" s="40" t="s">
        <v>140</v>
      </c>
      <c r="D59">
        <v>100</v>
      </c>
      <c r="E59">
        <v>75</v>
      </c>
      <c r="F59">
        <v>100</v>
      </c>
      <c r="G59">
        <v>100</v>
      </c>
      <c r="H59">
        <v>1</v>
      </c>
      <c r="I59">
        <v>0</v>
      </c>
      <c r="J59">
        <v>1</v>
      </c>
      <c r="K59">
        <v>0</v>
      </c>
      <c r="L59">
        <v>4</v>
      </c>
      <c r="M59" s="40" t="s">
        <v>474</v>
      </c>
    </row>
    <row r="60" spans="1:13" x14ac:dyDescent="0.2">
      <c r="A60" s="133">
        <v>46289.735422812497</v>
      </c>
      <c r="B60">
        <v>93.75</v>
      </c>
      <c r="C60" s="40" t="s">
        <v>140</v>
      </c>
      <c r="D60">
        <v>100</v>
      </c>
      <c r="E60">
        <v>75</v>
      </c>
      <c r="F60">
        <v>100</v>
      </c>
      <c r="G60">
        <v>100</v>
      </c>
      <c r="H60">
        <v>1</v>
      </c>
      <c r="I60">
        <v>0</v>
      </c>
      <c r="J60">
        <v>1</v>
      </c>
      <c r="K60">
        <v>0</v>
      </c>
      <c r="L60">
        <v>4</v>
      </c>
      <c r="M60" s="40" t="s">
        <v>472</v>
      </c>
    </row>
    <row r="61" spans="1:13" x14ac:dyDescent="0.2">
      <c r="A61" s="133"/>
    </row>
    <row r="62" spans="1:13" x14ac:dyDescent="0.2">
      <c r="A62" s="133"/>
    </row>
    <row r="63" spans="1:13" x14ac:dyDescent="0.2">
      <c r="A63" s="133"/>
    </row>
    <row r="64" spans="1:13" x14ac:dyDescent="0.2">
      <c r="A64" s="133"/>
    </row>
    <row r="65" spans="1:1" x14ac:dyDescent="0.2">
      <c r="A65" s="133"/>
    </row>
    <row r="66" spans="1:1" x14ac:dyDescent="0.2">
      <c r="A66" s="133"/>
    </row>
    <row r="67" spans="1:1" x14ac:dyDescent="0.2">
      <c r="A67" s="133"/>
    </row>
    <row r="68" spans="1:1" x14ac:dyDescent="0.2">
      <c r="A68" s="133"/>
    </row>
    <row r="69" spans="1:1" x14ac:dyDescent="0.2">
      <c r="A69" s="133"/>
    </row>
    <row r="70" spans="1:1" x14ac:dyDescent="0.2">
      <c r="A70" s="133"/>
    </row>
    <row r="71" spans="1:1" x14ac:dyDescent="0.2">
      <c r="A71" s="133"/>
    </row>
    <row r="72" spans="1:1" x14ac:dyDescent="0.2">
      <c r="A72" s="133"/>
    </row>
    <row r="73" spans="1:1" x14ac:dyDescent="0.2">
      <c r="A73" s="133"/>
    </row>
    <row r="74" spans="1:1" x14ac:dyDescent="0.2">
      <c r="A74" s="133"/>
    </row>
    <row r="75" spans="1:1" x14ac:dyDescent="0.2">
      <c r="A75" s="133"/>
    </row>
    <row r="76" spans="1:1" x14ac:dyDescent="0.2">
      <c r="A76" s="133"/>
    </row>
    <row r="77" spans="1:1" x14ac:dyDescent="0.2">
      <c r="A77" s="133"/>
    </row>
    <row r="78" spans="1:1" x14ac:dyDescent="0.2">
      <c r="A78" s="133"/>
    </row>
    <row r="79" spans="1:1" x14ac:dyDescent="0.2">
      <c r="A79" s="133"/>
    </row>
    <row r="80" spans="1:1" x14ac:dyDescent="0.2">
      <c r="A80" s="133"/>
    </row>
    <row r="81" spans="1:1" x14ac:dyDescent="0.2">
      <c r="A81" s="133"/>
    </row>
    <row r="82" spans="1:1" x14ac:dyDescent="0.2">
      <c r="A82" s="133"/>
    </row>
    <row r="83" spans="1:1" x14ac:dyDescent="0.2">
      <c r="A83" s="133"/>
    </row>
    <row r="84" spans="1:1" x14ac:dyDescent="0.2">
      <c r="A84" s="133"/>
    </row>
    <row r="85" spans="1:1" x14ac:dyDescent="0.2">
      <c r="A85" s="133"/>
    </row>
    <row r="86" spans="1:1" x14ac:dyDescent="0.2">
      <c r="A86" s="133"/>
    </row>
    <row r="87" spans="1:1" x14ac:dyDescent="0.2">
      <c r="A87" s="133"/>
    </row>
    <row r="88" spans="1:1" x14ac:dyDescent="0.2">
      <c r="A88" s="133"/>
    </row>
    <row r="89" spans="1:1" x14ac:dyDescent="0.2">
      <c r="A89" s="133"/>
    </row>
    <row r="90" spans="1:1" x14ac:dyDescent="0.2">
      <c r="A90" s="133"/>
    </row>
    <row r="91" spans="1:1" x14ac:dyDescent="0.2">
      <c r="A91" s="133"/>
    </row>
    <row r="92" spans="1:1" x14ac:dyDescent="0.2">
      <c r="A92" s="133"/>
    </row>
    <row r="93" spans="1:1" x14ac:dyDescent="0.2">
      <c r="A93" s="133"/>
    </row>
    <row r="94" spans="1:1" x14ac:dyDescent="0.2">
      <c r="A94" s="133"/>
    </row>
    <row r="95" spans="1:1" x14ac:dyDescent="0.2">
      <c r="A95" s="133"/>
    </row>
    <row r="96" spans="1:1" x14ac:dyDescent="0.2">
      <c r="A96" s="133"/>
    </row>
    <row r="97" spans="1:1" x14ac:dyDescent="0.2">
      <c r="A97" s="133"/>
    </row>
    <row r="98" spans="1:1" x14ac:dyDescent="0.2">
      <c r="A98" s="133"/>
    </row>
    <row r="99" spans="1:1" x14ac:dyDescent="0.2">
      <c r="A99" s="133"/>
    </row>
    <row r="100" spans="1:1" x14ac:dyDescent="0.2">
      <c r="A100" s="133"/>
    </row>
    <row r="101" spans="1:1" x14ac:dyDescent="0.2">
      <c r="A101" s="133"/>
    </row>
    <row r="102" spans="1:1" x14ac:dyDescent="0.2">
      <c r="A102" s="133"/>
    </row>
    <row r="103" spans="1:1" x14ac:dyDescent="0.2">
      <c r="A103" s="133"/>
    </row>
    <row r="104" spans="1:1" x14ac:dyDescent="0.2">
      <c r="A104" s="133"/>
    </row>
    <row r="105" spans="1:1" x14ac:dyDescent="0.2">
      <c r="A105" s="133"/>
    </row>
    <row r="106" spans="1:1" x14ac:dyDescent="0.2">
      <c r="A106" s="133"/>
    </row>
    <row r="107" spans="1:1" x14ac:dyDescent="0.2">
      <c r="A107" s="133"/>
    </row>
    <row r="108" spans="1:1" x14ac:dyDescent="0.2">
      <c r="A108" s="133"/>
    </row>
    <row r="109" spans="1:1" x14ac:dyDescent="0.2">
      <c r="A109" s="133"/>
    </row>
    <row r="110" spans="1:1" x14ac:dyDescent="0.2">
      <c r="A110" s="133"/>
    </row>
    <row r="111" spans="1:1" x14ac:dyDescent="0.2">
      <c r="A111" s="133"/>
    </row>
    <row r="112" spans="1:1" x14ac:dyDescent="0.2">
      <c r="A112" s="133"/>
    </row>
    <row r="113" spans="1:1" x14ac:dyDescent="0.2">
      <c r="A113" s="133"/>
    </row>
    <row r="114" spans="1:1" x14ac:dyDescent="0.2">
      <c r="A114" s="133"/>
    </row>
    <row r="115" spans="1:1" x14ac:dyDescent="0.2">
      <c r="A115" s="133"/>
    </row>
    <row r="116" spans="1:1" x14ac:dyDescent="0.2">
      <c r="A116" s="133"/>
    </row>
    <row r="117" spans="1:1" x14ac:dyDescent="0.2">
      <c r="A117" s="133"/>
    </row>
    <row r="118" spans="1:1" x14ac:dyDescent="0.2">
      <c r="A118" s="133"/>
    </row>
    <row r="119" spans="1:1" x14ac:dyDescent="0.2">
      <c r="A119" s="133"/>
    </row>
    <row r="120" spans="1:1" x14ac:dyDescent="0.2">
      <c r="A120" s="133"/>
    </row>
    <row r="121" spans="1:1" x14ac:dyDescent="0.2">
      <c r="A121" s="133"/>
    </row>
    <row r="122" spans="1:1" x14ac:dyDescent="0.2">
      <c r="A122" s="133"/>
    </row>
    <row r="123" spans="1:1" x14ac:dyDescent="0.2">
      <c r="A123" s="133"/>
    </row>
    <row r="124" spans="1:1" x14ac:dyDescent="0.2">
      <c r="A124" s="133"/>
    </row>
    <row r="125" spans="1:1" x14ac:dyDescent="0.2">
      <c r="A125" s="133"/>
    </row>
    <row r="126" spans="1:1" x14ac:dyDescent="0.2">
      <c r="A126" s="133"/>
    </row>
    <row r="127" spans="1:1" x14ac:dyDescent="0.2">
      <c r="A127" s="133"/>
    </row>
    <row r="128" spans="1:1" x14ac:dyDescent="0.2">
      <c r="A128" s="133"/>
    </row>
    <row r="129" spans="1:1" x14ac:dyDescent="0.2">
      <c r="A129" s="133"/>
    </row>
    <row r="130" spans="1:1" x14ac:dyDescent="0.2">
      <c r="A130" s="133"/>
    </row>
    <row r="131" spans="1:1" x14ac:dyDescent="0.2">
      <c r="A131" s="133"/>
    </row>
    <row r="132" spans="1:1" x14ac:dyDescent="0.2">
      <c r="A132" s="133"/>
    </row>
    <row r="133" spans="1:1" x14ac:dyDescent="0.2">
      <c r="A133" s="133"/>
    </row>
    <row r="134" spans="1:1" x14ac:dyDescent="0.2">
      <c r="A134" s="133"/>
    </row>
    <row r="135" spans="1:1" x14ac:dyDescent="0.2">
      <c r="A135" s="133"/>
    </row>
    <row r="136" spans="1:1" x14ac:dyDescent="0.2">
      <c r="A136" s="133"/>
    </row>
    <row r="137" spans="1:1" x14ac:dyDescent="0.2">
      <c r="A137" s="133"/>
    </row>
    <row r="138" spans="1:1" x14ac:dyDescent="0.2">
      <c r="A138" s="133"/>
    </row>
    <row r="139" spans="1:1" x14ac:dyDescent="0.2">
      <c r="A139" s="133"/>
    </row>
    <row r="140" spans="1:1" x14ac:dyDescent="0.2">
      <c r="A140" s="133"/>
    </row>
    <row r="141" spans="1:1" x14ac:dyDescent="0.2">
      <c r="A141" s="133"/>
    </row>
    <row r="142" spans="1:1" x14ac:dyDescent="0.2">
      <c r="A142" s="133"/>
    </row>
    <row r="143" spans="1:1" x14ac:dyDescent="0.2">
      <c r="A143" s="133"/>
    </row>
    <row r="144" spans="1:1" x14ac:dyDescent="0.2">
      <c r="A144" s="133"/>
    </row>
    <row r="145" spans="1:1" x14ac:dyDescent="0.2">
      <c r="A145" s="133"/>
    </row>
    <row r="146" spans="1:1" x14ac:dyDescent="0.2">
      <c r="A146" s="133"/>
    </row>
    <row r="147" spans="1:1" x14ac:dyDescent="0.2">
      <c r="A147" s="133"/>
    </row>
    <row r="148" spans="1:1" x14ac:dyDescent="0.2">
      <c r="A148" s="133"/>
    </row>
    <row r="149" spans="1:1" x14ac:dyDescent="0.2">
      <c r="A149" s="133"/>
    </row>
    <row r="150" spans="1:1" x14ac:dyDescent="0.2">
      <c r="A150" s="133"/>
    </row>
    <row r="151" spans="1:1" x14ac:dyDescent="0.2">
      <c r="A151" s="133"/>
    </row>
    <row r="152" spans="1:1" x14ac:dyDescent="0.2">
      <c r="A152" s="133"/>
    </row>
    <row r="153" spans="1:1" x14ac:dyDescent="0.2">
      <c r="A153" s="133"/>
    </row>
    <row r="154" spans="1:1" x14ac:dyDescent="0.2">
      <c r="A154" s="133"/>
    </row>
    <row r="155" spans="1:1" x14ac:dyDescent="0.2">
      <c r="A155" s="133"/>
    </row>
    <row r="156" spans="1:1" x14ac:dyDescent="0.2">
      <c r="A156" s="133"/>
    </row>
    <row r="157" spans="1:1" x14ac:dyDescent="0.2">
      <c r="A157" s="133"/>
    </row>
    <row r="158" spans="1:1" x14ac:dyDescent="0.2">
      <c r="A158" s="133"/>
    </row>
    <row r="159" spans="1:1" x14ac:dyDescent="0.2">
      <c r="A159" s="133"/>
    </row>
    <row r="160" spans="1:1" x14ac:dyDescent="0.2">
      <c r="A160" s="133"/>
    </row>
    <row r="161" spans="1:1" x14ac:dyDescent="0.2">
      <c r="A161" s="133"/>
    </row>
    <row r="162" spans="1:1" x14ac:dyDescent="0.2">
      <c r="A162" s="133"/>
    </row>
    <row r="163" spans="1:1" x14ac:dyDescent="0.2">
      <c r="A163" s="133"/>
    </row>
    <row r="164" spans="1:1" x14ac:dyDescent="0.2">
      <c r="A164" s="133"/>
    </row>
    <row r="165" spans="1:1" x14ac:dyDescent="0.2">
      <c r="A165" s="133"/>
    </row>
    <row r="166" spans="1:1" x14ac:dyDescent="0.2">
      <c r="A166" s="133"/>
    </row>
    <row r="167" spans="1:1" x14ac:dyDescent="0.2">
      <c r="A167" s="133"/>
    </row>
    <row r="168" spans="1:1" x14ac:dyDescent="0.2">
      <c r="A168" s="133"/>
    </row>
    <row r="169" spans="1:1" x14ac:dyDescent="0.2">
      <c r="A169" s="133"/>
    </row>
    <row r="170" spans="1:1" x14ac:dyDescent="0.2">
      <c r="A170" s="133"/>
    </row>
    <row r="171" spans="1:1" x14ac:dyDescent="0.2">
      <c r="A171" s="133"/>
    </row>
    <row r="172" spans="1:1" x14ac:dyDescent="0.2">
      <c r="A172" s="133"/>
    </row>
    <row r="173" spans="1:1" x14ac:dyDescent="0.2">
      <c r="A173" s="133"/>
    </row>
    <row r="174" spans="1:1" x14ac:dyDescent="0.2">
      <c r="A174" s="133"/>
    </row>
    <row r="175" spans="1:1" x14ac:dyDescent="0.2">
      <c r="A175" s="133"/>
    </row>
    <row r="176" spans="1:1" x14ac:dyDescent="0.2">
      <c r="A176" s="133"/>
    </row>
    <row r="177" spans="1:1" x14ac:dyDescent="0.2">
      <c r="A177" s="133"/>
    </row>
    <row r="178" spans="1:1" x14ac:dyDescent="0.2">
      <c r="A178" s="133"/>
    </row>
    <row r="179" spans="1:1" x14ac:dyDescent="0.2">
      <c r="A179" s="133"/>
    </row>
    <row r="180" spans="1:1" x14ac:dyDescent="0.2">
      <c r="A180" s="133"/>
    </row>
    <row r="181" spans="1:1" x14ac:dyDescent="0.2">
      <c r="A181" s="133"/>
    </row>
    <row r="182" spans="1:1" x14ac:dyDescent="0.2">
      <c r="A182" s="133"/>
    </row>
    <row r="183" spans="1:1" x14ac:dyDescent="0.2">
      <c r="A183" s="133"/>
    </row>
    <row r="184" spans="1:1" x14ac:dyDescent="0.2">
      <c r="A184" s="133"/>
    </row>
    <row r="185" spans="1:1" x14ac:dyDescent="0.2">
      <c r="A185" s="133"/>
    </row>
    <row r="186" spans="1:1" x14ac:dyDescent="0.2">
      <c r="A186" s="133"/>
    </row>
    <row r="187" spans="1:1" x14ac:dyDescent="0.2">
      <c r="A187" s="133"/>
    </row>
    <row r="188" spans="1:1" x14ac:dyDescent="0.2">
      <c r="A188" s="133"/>
    </row>
    <row r="189" spans="1:1" x14ac:dyDescent="0.2">
      <c r="A189" s="133"/>
    </row>
    <row r="190" spans="1:1" x14ac:dyDescent="0.2">
      <c r="A190" s="133"/>
    </row>
    <row r="191" spans="1:1" x14ac:dyDescent="0.2">
      <c r="A191" s="133"/>
    </row>
    <row r="192" spans="1:1" x14ac:dyDescent="0.2">
      <c r="A192" s="133"/>
    </row>
    <row r="193" spans="1:1" x14ac:dyDescent="0.2">
      <c r="A193" s="133"/>
    </row>
    <row r="194" spans="1:1" x14ac:dyDescent="0.2">
      <c r="A194" s="133"/>
    </row>
    <row r="195" spans="1:1" x14ac:dyDescent="0.2">
      <c r="A195" s="133"/>
    </row>
    <row r="196" spans="1:1" x14ac:dyDescent="0.2">
      <c r="A196" s="133"/>
    </row>
    <row r="197" spans="1:1" x14ac:dyDescent="0.2">
      <c r="A197" s="133"/>
    </row>
    <row r="198" spans="1:1" x14ac:dyDescent="0.2">
      <c r="A198" s="133"/>
    </row>
    <row r="199" spans="1:1" x14ac:dyDescent="0.2">
      <c r="A199" s="133"/>
    </row>
    <row r="200" spans="1:1" x14ac:dyDescent="0.2">
      <c r="A200" s="133"/>
    </row>
    <row r="201" spans="1:1" x14ac:dyDescent="0.2">
      <c r="A201" s="133"/>
    </row>
    <row r="202" spans="1:1" x14ac:dyDescent="0.2">
      <c r="A202" s="133"/>
    </row>
    <row r="203" spans="1:1" x14ac:dyDescent="0.2">
      <c r="A203" s="133"/>
    </row>
    <row r="204" spans="1:1" x14ac:dyDescent="0.2">
      <c r="A204" s="13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3A7048-DF4D-C34A-B1D0-967C053A9C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Dashboard</vt:lpstr>
      <vt:lpstr>US Stocks</vt:lpstr>
      <vt:lpstr>Japan Stocks</vt:lpstr>
      <vt:lpstr>Tech</vt:lpstr>
      <vt:lpstr>Macro</vt:lpstr>
      <vt:lpstr>Data Quality</vt:lpstr>
      <vt:lpstr>Incidents</vt:lpstr>
      <vt:lpstr>Data_Model</vt:lpstr>
      <vt:lpstr>tblMarket</vt:lpstr>
      <vt:lpstr>tblQuotes</vt:lpstr>
      <vt:lpstr>tblMacro</vt:lpstr>
      <vt:lpstr>tblIncidents</vt:lpstr>
      <vt:lpstr>tblQuality</vt:lpstr>
      <vt:lpstr>tblQualityHistory</vt:lpstr>
      <vt:lpstr>QualityHistory_Scores</vt:lpstr>
      <vt:lpstr>QualityHistory_Timestamps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Yusei Hosoya</dc:creator>
  <cp:lastModifiedBy>Yusei Hosoya</cp:lastModifiedBy>
  <dcterms:created xsi:type="dcterms:W3CDTF">2026-09-24T14:16:27Z</dcterms:created>
  <dcterms:modified xsi:type="dcterms:W3CDTF">2026-09-24T21:45:04Z</dcterms:modified>
</cp:coreProperties>
</file>